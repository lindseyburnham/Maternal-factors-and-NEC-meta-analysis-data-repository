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s" sheetId="1" r:id="rId5"/>
    <sheet state="visible" name="Histological Chorioamnionitis" sheetId="2" r:id="rId6"/>
    <sheet state="visible" name="Clinical Chorioamnionitis" sheetId="3" r:id="rId7"/>
    <sheet state="visible" name="C-section" sheetId="4" r:id="rId8"/>
    <sheet state="visible" name="Preeclampsia" sheetId="5" r:id="rId9"/>
    <sheet state="visible" name="Smoking" sheetId="6" r:id="rId10"/>
    <sheet state="visible" name="Diabetes Mellitus" sheetId="7" r:id="rId11"/>
    <sheet state="visible" name="No education" sheetId="8" r:id="rId12"/>
    <sheet state="visible" name="Over 12 years education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tc={06f7b60a-5864-4dea-ad05-1b32bde4a3c9}</author>
  </authors>
  <commentList>
    <comment authorId="0" xr:uid="{06f7b60a-5864-4dea-ad05-1b32bde4a3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weird OR, error in calculation?
</t>
      </text>
    </comment>
  </commentList>
</comments>
</file>

<file path=xl/sharedStrings.xml><?xml version="1.0" encoding="utf-8"?>
<sst xmlns="http://schemas.openxmlformats.org/spreadsheetml/2006/main" count="187" uniqueCount="69">
  <si>
    <t>our OR</t>
  </si>
  <si>
    <t>(I2*L2)/(J2*K2)</t>
  </si>
  <si>
    <t>(condition_with_nec*(condition_without_nec - condition_with_nec))/(condition_without_nec*(nec_without_condition - nec_with_condition))</t>
  </si>
  <si>
    <t>CI lower</t>
  </si>
  <si>
    <t>EXP(LOG($F2, EXP(1)) - 1.96*M2)</t>
  </si>
  <si>
    <t>exp(log(OR) - 1.96*SE)</t>
  </si>
  <si>
    <t>CI upper</t>
  </si>
  <si>
    <t>EXP(LOG($F2, EXP(1)) + 1.96*M2)</t>
  </si>
  <si>
    <t>exp(log(OR) + 1.96*SE)</t>
  </si>
  <si>
    <t>se</t>
  </si>
  <si>
    <t>SQRT((1/I2)+(1/J2)+(1/K2)+(1/L2)</t>
  </si>
  <si>
    <t>sqrt((1/condition_with_nec) + (1/condition_without_nec) + (1/(nec_without_condition - nec_with_condition)) + (1/(condition_without_nec - condition_with_nec))</t>
  </si>
  <si>
    <t>Authors</t>
  </si>
  <si>
    <t>n_noNEC</t>
  </si>
  <si>
    <t>n_NEC</t>
  </si>
  <si>
    <t>nonec</t>
  </si>
  <si>
    <t>nec</t>
  </si>
  <si>
    <t>a</t>
  </si>
  <si>
    <t>b</t>
  </si>
  <si>
    <t>c</t>
  </si>
  <si>
    <t>d</t>
  </si>
  <si>
    <t>Goldenberg et al.</t>
  </si>
  <si>
    <t>Okogbule-Wonodi et al., 2011</t>
  </si>
  <si>
    <t>March et al., 2014</t>
  </si>
  <si>
    <t>Lee et al., 2017</t>
  </si>
  <si>
    <t>Duci et al., 2019</t>
  </si>
  <si>
    <t xml:space="preserve"> OR</t>
  </si>
  <si>
    <t>Bashiri et al., 2003</t>
  </si>
  <si>
    <t>Hallstrom et al., 2003</t>
  </si>
  <si>
    <t>Osmanağaoğlu et al., 2004</t>
  </si>
  <si>
    <t>Goldenberg et al., 2006</t>
  </si>
  <si>
    <t>Thompson et al., 2011</t>
  </si>
  <si>
    <t>Yee et al., 2012</t>
  </si>
  <si>
    <t>Hua et al., 2014</t>
  </si>
  <si>
    <t>Irles et al., 2018</t>
  </si>
  <si>
    <t>Venkatesh et al. 2019</t>
  </si>
  <si>
    <t>Goldstein et al., 2020</t>
  </si>
  <si>
    <t>Kovo et al., 2020</t>
  </si>
  <si>
    <t>Vallant et al., 2022</t>
  </si>
  <si>
    <t>Kim et al., 2024</t>
  </si>
  <si>
    <t>Li et al., 2024</t>
  </si>
  <si>
    <t>OR</t>
  </si>
  <si>
    <t>Atkinson et al., 1989</t>
  </si>
  <si>
    <t>Salhab et al., 2004</t>
  </si>
  <si>
    <t>Luig et al., 2005</t>
  </si>
  <si>
    <t>Bertino et al., 2009</t>
  </si>
  <si>
    <t>Cetinkaya et al., 2012</t>
  </si>
  <si>
    <t>Boo &amp; Cheah, 2012</t>
  </si>
  <si>
    <t>Lu et al., 2016</t>
  </si>
  <si>
    <t>Son et al., 2016</t>
  </si>
  <si>
    <t>Ahle et al., 2018</t>
  </si>
  <si>
    <t>Cho et al., 2022</t>
  </si>
  <si>
    <t>Gitau et al., 2023</t>
  </si>
  <si>
    <t>Ding et al., 2024</t>
  </si>
  <si>
    <t>authors</t>
  </si>
  <si>
    <t>Henderson et al., 2007</t>
  </si>
  <si>
    <t>Perger et al., 2015</t>
  </si>
  <si>
    <t>Lee et al., 2015</t>
  </si>
  <si>
    <t>Kim et al., 2018</t>
  </si>
  <si>
    <t>SE</t>
  </si>
  <si>
    <t>Drenckpohl et al., 2010</t>
  </si>
  <si>
    <t>Husseini et al., 2010</t>
  </si>
  <si>
    <t>Downard et al., 2012</t>
  </si>
  <si>
    <t>Isiyama et al., 2015</t>
  </si>
  <si>
    <t>Bexelius et al., 2018</t>
  </si>
  <si>
    <t>Abebe et al., 2024</t>
  </si>
  <si>
    <t>Henderson et al. 2007</t>
  </si>
  <si>
    <t>12_nonec</t>
  </si>
  <si>
    <t>12_nec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</si>
</sst>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Times New Roman"/>
    </font>
    <font>
      <color theme="1"/>
      <name val="Arial"/>
      <scheme val="minor"/>
    </font>
    <font>
      <color rgb="FF222222"/>
      <name val="Arial"/>
    </font>
    <font>
      <b/>
      <color theme="1"/>
      <name val="Arial"/>
      <scheme val="minor"/>
    </font>
    <font>
      <b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right" vertical="bottom"/>
    </xf>
    <xf borderId="0" fillId="0" fontId="5" numFmtId="0" xfId="0" applyFont="1"/>
    <xf borderId="0" fillId="0" fontId="6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ndsey Burnham" id="{49361fa9-39c1-460d-843d-73aaa62867e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4-21T16:14:51.00" personId="{49361fa9-39c1-460d-843d-73aaa62867e1}" id="{06f7b60a-5864-4dea-ad05-1b32bde4a3c9}" done="1">
    <x18tc:text xml:space="preserve">weird OR, error in calculation?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</row>
    <row r="2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>
      <c r="A7" s="3" t="s">
        <v>4</v>
      </c>
      <c r="B7" s="1"/>
      <c r="C7" s="1"/>
      <c r="D7" s="1"/>
      <c r="E7" s="1"/>
      <c r="F7" s="1"/>
      <c r="G7" s="1"/>
      <c r="H7" s="1"/>
      <c r="I7" s="1"/>
      <c r="J7" s="1"/>
    </row>
    <row r="8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>
      <c r="A11" s="1" t="s">
        <v>6</v>
      </c>
      <c r="B11" s="1"/>
      <c r="C11" s="1"/>
      <c r="D11" s="1"/>
      <c r="E11" s="1"/>
      <c r="F11" s="1"/>
      <c r="G11" s="1"/>
      <c r="H11" s="1"/>
      <c r="I11" s="1"/>
      <c r="J11" s="1"/>
    </row>
    <row r="12">
      <c r="A12" s="3" t="s">
        <v>7</v>
      </c>
      <c r="B12" s="1"/>
      <c r="C12" s="1"/>
      <c r="D12" s="1"/>
      <c r="E12" s="1"/>
      <c r="F12" s="1"/>
      <c r="G12" s="1"/>
      <c r="H12" s="1"/>
      <c r="I12" s="1"/>
      <c r="J12" s="1"/>
    </row>
    <row r="13">
      <c r="A13" s="1" t="s">
        <v>8</v>
      </c>
      <c r="B13" s="1"/>
      <c r="C13" s="1"/>
      <c r="D13" s="1"/>
      <c r="E13" s="1"/>
      <c r="F13" s="1"/>
      <c r="G13" s="1"/>
      <c r="H13" s="1"/>
      <c r="I13" s="1"/>
      <c r="J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 t="s">
        <v>9</v>
      </c>
      <c r="B15" s="1"/>
      <c r="C15" s="1"/>
      <c r="D15" s="1"/>
      <c r="E15" s="1"/>
      <c r="F15" s="1"/>
      <c r="G15" s="1"/>
      <c r="H15" s="1"/>
      <c r="I15" s="1"/>
      <c r="J15" s="1"/>
    </row>
    <row r="16">
      <c r="A16" s="3" t="s">
        <v>10</v>
      </c>
      <c r="B16" s="1"/>
      <c r="C16" s="1"/>
      <c r="D16" s="1"/>
      <c r="E16" s="1"/>
      <c r="F16" s="1"/>
      <c r="G16" s="1"/>
      <c r="H16" s="1"/>
      <c r="I16" s="1"/>
      <c r="J16" s="1"/>
    </row>
    <row r="17">
      <c r="A17" s="1" t="s">
        <v>11</v>
      </c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0</v>
      </c>
      <c r="G1" s="1" t="s">
        <v>3</v>
      </c>
      <c r="H1" s="1" t="s">
        <v>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9</v>
      </c>
    </row>
    <row r="2">
      <c r="A2" s="5" t="s">
        <v>21</v>
      </c>
      <c r="B2" s="6">
        <f>218-38</f>
        <v>180</v>
      </c>
      <c r="C2" s="6">
        <v>38.0</v>
      </c>
      <c r="D2" s="7">
        <f>182-34</f>
        <v>148</v>
      </c>
      <c r="E2" s="7">
        <v>34.0</v>
      </c>
      <c r="F2" s="7">
        <f t="shared" ref="F2:F6" si="1">(I2*L2)/(J2*K2)</f>
        <v>1.837837838</v>
      </c>
      <c r="G2" s="7">
        <f t="shared" ref="G2:G6" si="2">EXP(LOG($F2, EXP(1)) - 1.96*$M2)</f>
        <v>0.609161169</v>
      </c>
      <c r="H2" s="7">
        <f t="shared" ref="H2:H6" si="3">EXP(LOG($F2, EXP(1)) + 1.96*$M2)</f>
        <v>5.544752506</v>
      </c>
      <c r="I2" s="7">
        <f t="shared" ref="I2:I6" si="4">E2</f>
        <v>34</v>
      </c>
      <c r="J2" s="7">
        <f t="shared" ref="J2:J6" si="5">D2</f>
        <v>148</v>
      </c>
      <c r="K2" s="7">
        <f t="shared" ref="K2:K6" si="6">C2-E2</f>
        <v>4</v>
      </c>
      <c r="L2" s="7">
        <f t="shared" ref="L2:L6" si="7">B2-D2</f>
        <v>32</v>
      </c>
      <c r="M2" s="7">
        <f t="shared" ref="M2:M6" si="8">SQRT((1/I2) + (1/J2) + (1/K2) + (1/L2))</f>
        <v>0.5633990783</v>
      </c>
    </row>
    <row r="3">
      <c r="A3" s="4" t="s">
        <v>22</v>
      </c>
      <c r="B3" s="7">
        <v>339.0</v>
      </c>
      <c r="C3" s="7">
        <v>29.0</v>
      </c>
      <c r="D3" s="7">
        <f>47+33</f>
        <v>80</v>
      </c>
      <c r="E3" s="7">
        <v>7.0</v>
      </c>
      <c r="F3" s="7">
        <f t="shared" si="1"/>
        <v>1.030113636</v>
      </c>
      <c r="G3" s="7">
        <f t="shared" si="2"/>
        <v>0.4244122986</v>
      </c>
      <c r="H3" s="7">
        <f t="shared" si="3"/>
        <v>2.50024353</v>
      </c>
      <c r="I3" s="7">
        <f t="shared" si="4"/>
        <v>7</v>
      </c>
      <c r="J3" s="7">
        <f t="shared" si="5"/>
        <v>80</v>
      </c>
      <c r="K3" s="7">
        <f t="shared" si="6"/>
        <v>22</v>
      </c>
      <c r="L3" s="7">
        <f t="shared" si="7"/>
        <v>259</v>
      </c>
      <c r="M3" s="7">
        <f t="shared" si="8"/>
        <v>0.4524076615</v>
      </c>
    </row>
    <row r="4">
      <c r="A4" s="4" t="s">
        <v>23</v>
      </c>
      <c r="B4" s="7">
        <v>81.0</v>
      </c>
      <c r="C4" s="7">
        <v>28.0</v>
      </c>
      <c r="D4" s="7">
        <v>21.0</v>
      </c>
      <c r="E4" s="7">
        <v>6.0</v>
      </c>
      <c r="F4" s="7">
        <f t="shared" si="1"/>
        <v>0.7792207792</v>
      </c>
      <c r="G4" s="7">
        <f t="shared" si="2"/>
        <v>0.2780597051</v>
      </c>
      <c r="H4" s="7">
        <f t="shared" si="3"/>
        <v>2.183649812</v>
      </c>
      <c r="I4" s="7">
        <f t="shared" si="4"/>
        <v>6</v>
      </c>
      <c r="J4" s="7">
        <f t="shared" si="5"/>
        <v>21</v>
      </c>
      <c r="K4" s="7">
        <f t="shared" si="6"/>
        <v>22</v>
      </c>
      <c r="L4" s="7">
        <f t="shared" si="7"/>
        <v>60</v>
      </c>
      <c r="M4" s="7">
        <f t="shared" si="8"/>
        <v>0.5257441644</v>
      </c>
    </row>
    <row r="5">
      <c r="A5" s="4" t="s">
        <v>24</v>
      </c>
      <c r="B5" s="7">
        <v>328.0</v>
      </c>
      <c r="C5" s="7">
        <v>26.0</v>
      </c>
      <c r="D5" s="7">
        <v>164.0</v>
      </c>
      <c r="E5" s="7">
        <v>11.0</v>
      </c>
      <c r="F5" s="7">
        <f t="shared" si="1"/>
        <v>0.7333333333</v>
      </c>
      <c r="G5" s="7">
        <f t="shared" si="2"/>
        <v>0.3270183928</v>
      </c>
      <c r="H5" s="7">
        <f t="shared" si="3"/>
        <v>1.644487862</v>
      </c>
      <c r="I5" s="7">
        <f t="shared" si="4"/>
        <v>11</v>
      </c>
      <c r="J5" s="7">
        <f t="shared" si="5"/>
        <v>164</v>
      </c>
      <c r="K5" s="7">
        <f t="shared" si="6"/>
        <v>15</v>
      </c>
      <c r="L5" s="7">
        <f t="shared" si="7"/>
        <v>164</v>
      </c>
      <c r="M5" s="7">
        <f t="shared" si="8"/>
        <v>0.4120326195</v>
      </c>
    </row>
    <row r="6">
      <c r="A6" s="8" t="s">
        <v>25</v>
      </c>
      <c r="B6" s="8">
        <v>134.0</v>
      </c>
      <c r="C6" s="8">
        <v>136.0</v>
      </c>
      <c r="D6" s="8">
        <v>40.0</v>
      </c>
      <c r="E6" s="8">
        <v>69.0</v>
      </c>
      <c r="F6" s="7">
        <f t="shared" si="1"/>
        <v>2.420149254</v>
      </c>
      <c r="G6" s="7">
        <f t="shared" si="2"/>
        <v>1.468011052</v>
      </c>
      <c r="H6" s="7">
        <f t="shared" si="3"/>
        <v>3.989835364</v>
      </c>
      <c r="I6" s="7">
        <f t="shared" si="4"/>
        <v>69</v>
      </c>
      <c r="J6" s="7">
        <f t="shared" si="5"/>
        <v>40</v>
      </c>
      <c r="K6" s="7">
        <f t="shared" si="6"/>
        <v>67</v>
      </c>
      <c r="L6" s="7">
        <f t="shared" si="7"/>
        <v>94</v>
      </c>
      <c r="M6" s="7">
        <f t="shared" si="8"/>
        <v>0.2550616095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4" t="s">
        <v>12</v>
      </c>
      <c r="B1" s="4" t="s">
        <v>13</v>
      </c>
      <c r="C1" s="4" t="s">
        <v>14</v>
      </c>
      <c r="D1" s="9" t="s">
        <v>15</v>
      </c>
      <c r="E1" s="9" t="s">
        <v>16</v>
      </c>
      <c r="F1" s="3" t="s">
        <v>26</v>
      </c>
      <c r="G1" s="1" t="s">
        <v>3</v>
      </c>
      <c r="H1" s="1" t="s">
        <v>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9</v>
      </c>
      <c r="O1" s="7"/>
    </row>
    <row r="2">
      <c r="A2" s="4" t="s">
        <v>27</v>
      </c>
      <c r="B2" s="1">
        <v>194.0</v>
      </c>
      <c r="C2" s="1">
        <v>17.0</v>
      </c>
      <c r="D2" s="7">
        <v>18.0</v>
      </c>
      <c r="E2" s="4">
        <v>1.0</v>
      </c>
      <c r="F2" s="7">
        <f t="shared" ref="F2:F19" si="1">(I2*L2)/(J2*K2)</f>
        <v>0.6111111111</v>
      </c>
      <c r="G2" s="7">
        <f t="shared" ref="G2:G19" si="2">EXP(log($F2, exp(1)) - 1.96*$M2)</f>
        <v>0.07651997301</v>
      </c>
      <c r="H2" s="7">
        <f t="shared" ref="H2:H19" si="3">EXP(log($F2, exp(1)) + 1.96*$M2)</f>
        <v>4.880513877</v>
      </c>
      <c r="I2" s="10">
        <f t="shared" ref="I2:I19" si="4">E2</f>
        <v>1</v>
      </c>
      <c r="J2" s="10">
        <f t="shared" ref="J2:J19" si="5">D2</f>
        <v>18</v>
      </c>
      <c r="K2" s="10">
        <f t="shared" ref="K2:K19" si="6">C2-E2</f>
        <v>16</v>
      </c>
      <c r="L2" s="10">
        <f t="shared" ref="L2:L19" si="7">B2-D2</f>
        <v>176</v>
      </c>
      <c r="M2" s="10">
        <f t="shared" ref="M2:M19" si="8">sqrt((1/I2) + (1/J2) + (1/K2) + (1/L2))</f>
        <v>1.060064797</v>
      </c>
      <c r="O2" s="7"/>
    </row>
    <row r="3">
      <c r="A3" s="4" t="s">
        <v>28</v>
      </c>
      <c r="B3" s="7">
        <v>114.0</v>
      </c>
      <c r="C3" s="7">
        <f>26+12</f>
        <v>38</v>
      </c>
      <c r="D3" s="7">
        <v>37.0</v>
      </c>
      <c r="E3" s="7">
        <f>15+6</f>
        <v>21</v>
      </c>
      <c r="F3" s="7">
        <f t="shared" si="1"/>
        <v>2.570747218</v>
      </c>
      <c r="G3" s="7">
        <f t="shared" si="2"/>
        <v>1.214231599</v>
      </c>
      <c r="H3" s="7">
        <f t="shared" si="3"/>
        <v>5.44273536</v>
      </c>
      <c r="I3" s="10">
        <f t="shared" si="4"/>
        <v>21</v>
      </c>
      <c r="J3" s="10">
        <f t="shared" si="5"/>
        <v>37</v>
      </c>
      <c r="K3" s="10">
        <f t="shared" si="6"/>
        <v>17</v>
      </c>
      <c r="L3" s="10">
        <f t="shared" si="7"/>
        <v>77</v>
      </c>
      <c r="M3" s="10">
        <f t="shared" si="8"/>
        <v>0.3826965078</v>
      </c>
      <c r="O3" s="7"/>
    </row>
    <row r="4">
      <c r="A4" s="3" t="s">
        <v>29</v>
      </c>
      <c r="B4" s="11">
        <v>207.0</v>
      </c>
      <c r="C4" s="8">
        <v>47.0</v>
      </c>
      <c r="D4" s="8">
        <v>18.0</v>
      </c>
      <c r="E4" s="11">
        <v>29.0</v>
      </c>
      <c r="F4" s="7">
        <f t="shared" si="1"/>
        <v>16.91666667</v>
      </c>
      <c r="G4" s="7">
        <f t="shared" si="2"/>
        <v>7.900759097</v>
      </c>
      <c r="H4" s="7">
        <f t="shared" si="3"/>
        <v>36.22102732</v>
      </c>
      <c r="I4" s="10">
        <f t="shared" si="4"/>
        <v>29</v>
      </c>
      <c r="J4" s="10">
        <f t="shared" si="5"/>
        <v>18</v>
      </c>
      <c r="K4" s="10">
        <f t="shared" si="6"/>
        <v>18</v>
      </c>
      <c r="L4" s="10">
        <f t="shared" si="7"/>
        <v>189</v>
      </c>
      <c r="M4" s="10">
        <f t="shared" si="8"/>
        <v>0.3884390236</v>
      </c>
      <c r="O4" s="7"/>
    </row>
    <row r="5">
      <c r="A5" s="12" t="s">
        <v>30</v>
      </c>
      <c r="B5" s="11">
        <v>426.0</v>
      </c>
      <c r="C5" s="11">
        <v>189.0</v>
      </c>
      <c r="D5" s="8">
        <v>190.0</v>
      </c>
      <c r="E5" s="8">
        <v>85.0</v>
      </c>
      <c r="F5" s="7">
        <f t="shared" si="1"/>
        <v>1.015182186</v>
      </c>
      <c r="G5" s="7">
        <f t="shared" si="2"/>
        <v>0.7193840339</v>
      </c>
      <c r="H5" s="7">
        <f t="shared" si="3"/>
        <v>1.432607373</v>
      </c>
      <c r="I5" s="10">
        <f t="shared" si="4"/>
        <v>85</v>
      </c>
      <c r="J5" s="10">
        <f t="shared" si="5"/>
        <v>190</v>
      </c>
      <c r="K5" s="10">
        <f t="shared" si="6"/>
        <v>104</v>
      </c>
      <c r="L5" s="10">
        <f t="shared" si="7"/>
        <v>236</v>
      </c>
      <c r="M5" s="10">
        <f t="shared" si="8"/>
        <v>0.1757285877</v>
      </c>
      <c r="O5" s="7"/>
    </row>
    <row r="6">
      <c r="A6" s="4" t="s">
        <v>22</v>
      </c>
      <c r="B6" s="7">
        <v>339.0</v>
      </c>
      <c r="C6" s="7">
        <v>29.0</v>
      </c>
      <c r="D6" s="7">
        <f>47+33</f>
        <v>80</v>
      </c>
      <c r="E6" s="7">
        <v>7.0</v>
      </c>
      <c r="F6" s="7">
        <f t="shared" si="1"/>
        <v>1.030113636</v>
      </c>
      <c r="G6" s="7">
        <f t="shared" si="2"/>
        <v>0.4244122986</v>
      </c>
      <c r="H6" s="7">
        <f t="shared" si="3"/>
        <v>2.50024353</v>
      </c>
      <c r="I6" s="10">
        <f t="shared" si="4"/>
        <v>7</v>
      </c>
      <c r="J6" s="10">
        <f t="shared" si="5"/>
        <v>80</v>
      </c>
      <c r="K6" s="10">
        <f t="shared" si="6"/>
        <v>22</v>
      </c>
      <c r="L6" s="10">
        <f t="shared" si="7"/>
        <v>259</v>
      </c>
      <c r="M6" s="10">
        <f t="shared" si="8"/>
        <v>0.4524076615</v>
      </c>
      <c r="O6" s="7"/>
    </row>
    <row r="7">
      <c r="A7" s="4" t="s">
        <v>31</v>
      </c>
      <c r="B7" s="7">
        <v>108.0</v>
      </c>
      <c r="C7" s="7">
        <v>37.0</v>
      </c>
      <c r="D7" s="7">
        <v>18.0</v>
      </c>
      <c r="E7" s="7">
        <v>2.0</v>
      </c>
      <c r="F7" s="7">
        <f t="shared" si="1"/>
        <v>0.2857142857</v>
      </c>
      <c r="G7" s="7">
        <f t="shared" si="2"/>
        <v>0.06298014266</v>
      </c>
      <c r="H7" s="7">
        <f t="shared" si="3"/>
        <v>1.296164944</v>
      </c>
      <c r="I7" s="10">
        <f t="shared" si="4"/>
        <v>2</v>
      </c>
      <c r="J7" s="10">
        <f t="shared" si="5"/>
        <v>18</v>
      </c>
      <c r="K7" s="10">
        <f t="shared" si="6"/>
        <v>35</v>
      </c>
      <c r="L7" s="10">
        <f t="shared" si="7"/>
        <v>90</v>
      </c>
      <c r="M7" s="10">
        <f t="shared" si="8"/>
        <v>0.7715167498</v>
      </c>
      <c r="O7" s="7"/>
    </row>
    <row r="8">
      <c r="A8" s="4" t="s">
        <v>32</v>
      </c>
      <c r="B8" s="1">
        <v>15811.0</v>
      </c>
      <c r="C8" s="1">
        <v>858.0</v>
      </c>
      <c r="D8" s="7">
        <v>1758.0</v>
      </c>
      <c r="E8" s="7">
        <v>104.0</v>
      </c>
      <c r="F8" s="7">
        <f t="shared" si="1"/>
        <v>1.102585226</v>
      </c>
      <c r="G8" s="7">
        <f t="shared" si="2"/>
        <v>0.8929062971</v>
      </c>
      <c r="H8" s="7">
        <f t="shared" si="3"/>
        <v>1.361502528</v>
      </c>
      <c r="I8" s="10">
        <f t="shared" si="4"/>
        <v>104</v>
      </c>
      <c r="J8" s="10">
        <f t="shared" si="5"/>
        <v>1758</v>
      </c>
      <c r="K8" s="10">
        <f t="shared" si="6"/>
        <v>754</v>
      </c>
      <c r="L8" s="10">
        <f t="shared" si="7"/>
        <v>14053</v>
      </c>
      <c r="M8" s="10">
        <f t="shared" si="8"/>
        <v>0.1076179909</v>
      </c>
      <c r="O8" s="7"/>
    </row>
    <row r="9">
      <c r="A9" s="4" t="s">
        <v>33</v>
      </c>
      <c r="B9" s="7">
        <v>26.0</v>
      </c>
      <c r="C9" s="7">
        <v>26.0</v>
      </c>
      <c r="D9" s="7">
        <v>4.0</v>
      </c>
      <c r="E9" s="7">
        <v>7.0</v>
      </c>
      <c r="F9" s="7">
        <f t="shared" si="1"/>
        <v>2.026315789</v>
      </c>
      <c r="G9" s="7">
        <f t="shared" si="2"/>
        <v>0.513194339</v>
      </c>
      <c r="H9" s="7">
        <f t="shared" si="3"/>
        <v>8.000781316</v>
      </c>
      <c r="I9" s="10">
        <f t="shared" si="4"/>
        <v>7</v>
      </c>
      <c r="J9" s="10">
        <f t="shared" si="5"/>
        <v>4</v>
      </c>
      <c r="K9" s="10">
        <f t="shared" si="6"/>
        <v>19</v>
      </c>
      <c r="L9" s="10">
        <f t="shared" si="7"/>
        <v>22</v>
      </c>
      <c r="M9" s="10">
        <f t="shared" si="8"/>
        <v>0.7006734384</v>
      </c>
      <c r="O9" s="7"/>
    </row>
    <row r="10">
      <c r="A10" s="4" t="s">
        <v>23</v>
      </c>
      <c r="B10" s="1">
        <v>81.0</v>
      </c>
      <c r="C10" s="1">
        <v>28.0</v>
      </c>
      <c r="D10" s="7">
        <v>23.0</v>
      </c>
      <c r="E10" s="7">
        <v>6.0</v>
      </c>
      <c r="F10" s="7">
        <f t="shared" si="1"/>
        <v>0.6877470356</v>
      </c>
      <c r="G10" s="7">
        <f t="shared" si="2"/>
        <v>0.2470600331</v>
      </c>
      <c r="H10" s="7">
        <f t="shared" si="3"/>
        <v>1.914498185</v>
      </c>
      <c r="I10" s="10">
        <f t="shared" si="4"/>
        <v>6</v>
      </c>
      <c r="J10" s="10">
        <f t="shared" si="5"/>
        <v>23</v>
      </c>
      <c r="K10" s="10">
        <f t="shared" si="6"/>
        <v>22</v>
      </c>
      <c r="L10" s="10">
        <f t="shared" si="7"/>
        <v>58</v>
      </c>
      <c r="M10" s="10">
        <f t="shared" si="8"/>
        <v>0.5223417007</v>
      </c>
      <c r="O10" s="7"/>
    </row>
    <row r="11">
      <c r="A11" s="4" t="s">
        <v>24</v>
      </c>
      <c r="B11" s="1">
        <v>328.0</v>
      </c>
      <c r="C11" s="1">
        <v>26.0</v>
      </c>
      <c r="D11" s="7">
        <v>164.0</v>
      </c>
      <c r="E11" s="7">
        <v>11.0</v>
      </c>
      <c r="F11" s="7">
        <f t="shared" si="1"/>
        <v>0.7333333333</v>
      </c>
      <c r="G11" s="7">
        <f t="shared" si="2"/>
        <v>0.3270183928</v>
      </c>
      <c r="H11" s="7">
        <f t="shared" si="3"/>
        <v>1.644487862</v>
      </c>
      <c r="I11" s="10">
        <f t="shared" si="4"/>
        <v>11</v>
      </c>
      <c r="J11" s="10">
        <f t="shared" si="5"/>
        <v>164</v>
      </c>
      <c r="K11" s="10">
        <f t="shared" si="6"/>
        <v>15</v>
      </c>
      <c r="L11" s="10">
        <f t="shared" si="7"/>
        <v>164</v>
      </c>
      <c r="M11" s="10">
        <f t="shared" si="8"/>
        <v>0.4120326195</v>
      </c>
      <c r="O11" s="7"/>
    </row>
    <row r="12">
      <c r="A12" s="12" t="s">
        <v>34</v>
      </c>
      <c r="B12" s="8">
        <v>27.0</v>
      </c>
      <c r="C12" s="8">
        <v>23.0</v>
      </c>
      <c r="D12" s="8">
        <v>3.0</v>
      </c>
      <c r="E12" s="8">
        <v>4.0</v>
      </c>
      <c r="F12" s="7">
        <f t="shared" si="1"/>
        <v>1.684210526</v>
      </c>
      <c r="G12" s="7">
        <f t="shared" si="2"/>
        <v>0.3354966403</v>
      </c>
      <c r="H12" s="7">
        <f t="shared" si="3"/>
        <v>8.454824152</v>
      </c>
      <c r="I12" s="10">
        <f t="shared" si="4"/>
        <v>4</v>
      </c>
      <c r="J12" s="10">
        <f t="shared" si="5"/>
        <v>3</v>
      </c>
      <c r="K12" s="10">
        <f t="shared" si="6"/>
        <v>19</v>
      </c>
      <c r="L12" s="10">
        <f t="shared" si="7"/>
        <v>24</v>
      </c>
      <c r="M12" s="10">
        <f t="shared" si="8"/>
        <v>0.8231838063</v>
      </c>
      <c r="O12" s="7"/>
    </row>
    <row r="13">
      <c r="A13" s="4" t="s">
        <v>25</v>
      </c>
      <c r="B13" s="7">
        <v>134.0</v>
      </c>
      <c r="C13" s="7">
        <v>136.0</v>
      </c>
      <c r="D13" s="7">
        <v>44.0</v>
      </c>
      <c r="E13" s="7">
        <f>23+69</f>
        <v>92</v>
      </c>
      <c r="F13" s="7">
        <f t="shared" si="1"/>
        <v>4.276859504</v>
      </c>
      <c r="G13" s="7">
        <f t="shared" si="2"/>
        <v>2.570859929</v>
      </c>
      <c r="H13" s="7">
        <f t="shared" si="3"/>
        <v>7.114945086</v>
      </c>
      <c r="I13" s="10">
        <f t="shared" si="4"/>
        <v>92</v>
      </c>
      <c r="J13" s="10">
        <f t="shared" si="5"/>
        <v>44</v>
      </c>
      <c r="K13" s="10">
        <f t="shared" si="6"/>
        <v>44</v>
      </c>
      <c r="L13" s="10">
        <f t="shared" si="7"/>
        <v>90</v>
      </c>
      <c r="M13" s="10">
        <f t="shared" si="8"/>
        <v>0.2596829255</v>
      </c>
      <c r="O13" s="7"/>
    </row>
    <row r="14">
      <c r="A14" s="12" t="s">
        <v>35</v>
      </c>
      <c r="B14" s="11">
        <v>220849.0</v>
      </c>
      <c r="C14" s="11">
        <v>425.0</v>
      </c>
      <c r="D14" s="11">
        <v>4759.0</v>
      </c>
      <c r="E14" s="11">
        <v>48.0</v>
      </c>
      <c r="F14" s="7">
        <f t="shared" si="1"/>
        <v>5.78121142</v>
      </c>
      <c r="G14" s="7">
        <f t="shared" si="2"/>
        <v>4.275372388</v>
      </c>
      <c r="H14" s="7">
        <f t="shared" si="3"/>
        <v>7.817425582</v>
      </c>
      <c r="I14" s="10">
        <f t="shared" si="4"/>
        <v>48</v>
      </c>
      <c r="J14" s="10">
        <f t="shared" si="5"/>
        <v>4759</v>
      </c>
      <c r="K14" s="10">
        <f t="shared" si="6"/>
        <v>377</v>
      </c>
      <c r="L14" s="10">
        <f t="shared" si="7"/>
        <v>216090</v>
      </c>
      <c r="M14" s="10">
        <f t="shared" si="8"/>
        <v>0.1539500215</v>
      </c>
      <c r="O14" s="7"/>
    </row>
    <row r="15">
      <c r="A15" s="4" t="s">
        <v>36</v>
      </c>
      <c r="B15" s="7">
        <v>22332.0</v>
      </c>
      <c r="C15" s="7">
        <v>679.0</v>
      </c>
      <c r="D15" s="7">
        <v>1790.0</v>
      </c>
      <c r="E15" s="7">
        <v>58.0</v>
      </c>
      <c r="F15" s="7">
        <f t="shared" si="1"/>
        <v>1.071830441</v>
      </c>
      <c r="G15" s="7">
        <f t="shared" si="2"/>
        <v>0.8154268861</v>
      </c>
      <c r="H15" s="7">
        <f t="shared" si="3"/>
        <v>1.408857758</v>
      </c>
      <c r="I15" s="10">
        <f t="shared" si="4"/>
        <v>58</v>
      </c>
      <c r="J15" s="10">
        <f t="shared" si="5"/>
        <v>1790</v>
      </c>
      <c r="K15" s="10">
        <f t="shared" si="6"/>
        <v>621</v>
      </c>
      <c r="L15" s="10">
        <f t="shared" si="7"/>
        <v>20542</v>
      </c>
      <c r="M15" s="10">
        <f t="shared" si="8"/>
        <v>0.1394956101</v>
      </c>
      <c r="O15" s="7"/>
    </row>
    <row r="16">
      <c r="A16" s="11" t="s">
        <v>37</v>
      </c>
      <c r="B16" s="11">
        <v>341.0</v>
      </c>
      <c r="C16" s="11">
        <v>3.0</v>
      </c>
      <c r="D16" s="13">
        <v>2.0</v>
      </c>
      <c r="E16" s="11">
        <v>1.0</v>
      </c>
      <c r="F16" s="7">
        <f t="shared" si="1"/>
        <v>84.75</v>
      </c>
      <c r="G16" s="7">
        <f t="shared" si="2"/>
        <v>5.289923443</v>
      </c>
      <c r="H16" s="7">
        <f t="shared" si="3"/>
        <v>1357.781937</v>
      </c>
      <c r="I16" s="10">
        <f t="shared" si="4"/>
        <v>1</v>
      </c>
      <c r="J16" s="10">
        <f t="shared" si="5"/>
        <v>2</v>
      </c>
      <c r="K16" s="10">
        <f t="shared" si="6"/>
        <v>2</v>
      </c>
      <c r="L16" s="10">
        <f t="shared" si="7"/>
        <v>339</v>
      </c>
      <c r="M16" s="10">
        <f t="shared" si="8"/>
        <v>1.415256108</v>
      </c>
      <c r="O16" s="7"/>
    </row>
    <row r="17">
      <c r="A17" s="12" t="s">
        <v>38</v>
      </c>
      <c r="B17" s="11">
        <v>25.0</v>
      </c>
      <c r="C17" s="11">
        <v>31.0</v>
      </c>
      <c r="D17" s="11">
        <v>14.0</v>
      </c>
      <c r="E17" s="11">
        <v>11.0</v>
      </c>
      <c r="F17" s="7">
        <f t="shared" si="1"/>
        <v>0.4321428571</v>
      </c>
      <c r="G17" s="7">
        <f t="shared" si="2"/>
        <v>0.1468521742</v>
      </c>
      <c r="H17" s="7">
        <f t="shared" si="3"/>
        <v>1.271669623</v>
      </c>
      <c r="I17" s="10">
        <f t="shared" si="4"/>
        <v>11</v>
      </c>
      <c r="J17" s="10">
        <f t="shared" si="5"/>
        <v>14</v>
      </c>
      <c r="K17" s="10">
        <f t="shared" si="6"/>
        <v>20</v>
      </c>
      <c r="L17" s="10">
        <f t="shared" si="7"/>
        <v>11</v>
      </c>
      <c r="M17" s="10">
        <f t="shared" si="8"/>
        <v>0.5506784481</v>
      </c>
      <c r="O17" s="7"/>
    </row>
    <row r="18">
      <c r="A18" s="14" t="s">
        <v>39</v>
      </c>
      <c r="B18" s="15">
        <v>4592.0</v>
      </c>
      <c r="C18" s="1">
        <f>493+225</f>
        <v>718</v>
      </c>
      <c r="D18" s="7">
        <v>1995.0</v>
      </c>
      <c r="E18" s="7">
        <f>92+189</f>
        <v>281</v>
      </c>
      <c r="F18" s="7">
        <f t="shared" si="1"/>
        <v>0.8370548798</v>
      </c>
      <c r="G18" s="7">
        <f t="shared" si="2"/>
        <v>0.7126980203</v>
      </c>
      <c r="H18" s="7">
        <f t="shared" si="3"/>
        <v>0.9831104504</v>
      </c>
      <c r="I18" s="10">
        <f t="shared" si="4"/>
        <v>281</v>
      </c>
      <c r="J18" s="10">
        <f t="shared" si="5"/>
        <v>1995</v>
      </c>
      <c r="K18" s="10">
        <f t="shared" si="6"/>
        <v>437</v>
      </c>
      <c r="L18" s="10">
        <f t="shared" si="7"/>
        <v>2597</v>
      </c>
      <c r="M18" s="10">
        <f t="shared" si="8"/>
        <v>0.08205706062</v>
      </c>
      <c r="O18" s="7"/>
    </row>
    <row r="19">
      <c r="A19" s="4" t="s">
        <v>40</v>
      </c>
      <c r="B19" s="7">
        <v>180.0</v>
      </c>
      <c r="C19" s="7">
        <v>54.0</v>
      </c>
      <c r="D19" s="7">
        <v>2.0</v>
      </c>
      <c r="E19" s="7">
        <v>1.0</v>
      </c>
      <c r="F19" s="7">
        <f t="shared" si="1"/>
        <v>1.679245283</v>
      </c>
      <c r="G19" s="7">
        <f t="shared" si="2"/>
        <v>0.1493192001</v>
      </c>
      <c r="H19" s="7">
        <f t="shared" si="3"/>
        <v>18.88480999</v>
      </c>
      <c r="I19" s="10">
        <f t="shared" si="4"/>
        <v>1</v>
      </c>
      <c r="J19" s="10">
        <f t="shared" si="5"/>
        <v>2</v>
      </c>
      <c r="K19" s="10">
        <f t="shared" si="6"/>
        <v>53</v>
      </c>
      <c r="L19" s="10">
        <f t="shared" si="7"/>
        <v>178</v>
      </c>
      <c r="M19" s="10">
        <f t="shared" si="8"/>
        <v>1.234700734</v>
      </c>
      <c r="O19" s="7"/>
    </row>
    <row r="20">
      <c r="O20" s="1"/>
    </row>
    <row r="21">
      <c r="Q2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41</v>
      </c>
      <c r="G1" s="1" t="s">
        <v>3</v>
      </c>
      <c r="H1" s="1" t="s">
        <v>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9</v>
      </c>
      <c r="O1" s="7"/>
    </row>
    <row r="2">
      <c r="A2" s="4" t="s">
        <v>42</v>
      </c>
      <c r="B2" s="7">
        <v>90.0</v>
      </c>
      <c r="C2" s="7">
        <v>45.0</v>
      </c>
      <c r="D2" s="16">
        <v>20.0</v>
      </c>
      <c r="E2" s="7">
        <v>10.0</v>
      </c>
      <c r="F2" s="7">
        <f t="shared" ref="F2:F19" si="1">(I2*L2)/(J2*K2)</f>
        <v>1</v>
      </c>
      <c r="G2" s="7">
        <f t="shared" ref="G2:G7" si="2">EXP(log($F2, exp(1)) - 1.96*$M2)</f>
        <v>0.4228474242</v>
      </c>
      <c r="H2" s="7">
        <f t="shared" ref="H2:H7" si="3">EXP(log($F2, exp(1)) + 1.96*$M2)</f>
        <v>2.364919219</v>
      </c>
      <c r="I2" s="10">
        <f t="shared" ref="I2:I19" si="4">E2</f>
        <v>10</v>
      </c>
      <c r="J2" s="10">
        <f t="shared" ref="J2:J19" si="5">D2</f>
        <v>20</v>
      </c>
      <c r="K2" s="10">
        <f t="shared" ref="K2:K19" si="6">C2-E2</f>
        <v>35</v>
      </c>
      <c r="L2" s="10">
        <f t="shared" ref="L2:L19" si="7">B2-D2</f>
        <v>70</v>
      </c>
      <c r="M2" s="10">
        <f t="shared" ref="M2:M7" si="8">sqrt((1/I2) + (1/J2) + (1/K2) + (1/L2))</f>
        <v>0.4391550328</v>
      </c>
      <c r="O2" s="7"/>
    </row>
    <row r="3">
      <c r="A3" s="4" t="s">
        <v>27</v>
      </c>
      <c r="B3" s="1">
        <v>194.0</v>
      </c>
      <c r="C3" s="1">
        <v>17.0</v>
      </c>
      <c r="D3" s="4">
        <v>106.0</v>
      </c>
      <c r="E3" s="1">
        <v>11.0</v>
      </c>
      <c r="F3" s="7">
        <f t="shared" si="1"/>
        <v>1.522012579</v>
      </c>
      <c r="G3" s="7">
        <f t="shared" si="2"/>
        <v>0.5411363409</v>
      </c>
      <c r="H3" s="7">
        <f t="shared" si="3"/>
        <v>4.280847754</v>
      </c>
      <c r="I3" s="10">
        <f t="shared" si="4"/>
        <v>11</v>
      </c>
      <c r="J3" s="10">
        <f t="shared" si="5"/>
        <v>106</v>
      </c>
      <c r="K3" s="10">
        <f t="shared" si="6"/>
        <v>6</v>
      </c>
      <c r="L3" s="10">
        <f t="shared" si="7"/>
        <v>88</v>
      </c>
      <c r="M3" s="10">
        <f t="shared" si="8"/>
        <v>0.5276109895</v>
      </c>
      <c r="O3" s="7"/>
    </row>
    <row r="4">
      <c r="A4" s="4" t="s">
        <v>43</v>
      </c>
      <c r="B4" s="7">
        <v>51.0</v>
      </c>
      <c r="C4" s="7">
        <v>17.0</v>
      </c>
      <c r="D4" s="16">
        <v>28.0</v>
      </c>
      <c r="E4" s="7">
        <v>8.0</v>
      </c>
      <c r="F4" s="7">
        <f t="shared" si="1"/>
        <v>0.7301587302</v>
      </c>
      <c r="G4" s="7">
        <f t="shared" si="2"/>
        <v>0.242908441</v>
      </c>
      <c r="H4" s="7">
        <f t="shared" si="3"/>
        <v>2.194784871</v>
      </c>
      <c r="I4" s="10">
        <f t="shared" si="4"/>
        <v>8</v>
      </c>
      <c r="J4" s="10">
        <f t="shared" si="5"/>
        <v>28</v>
      </c>
      <c r="K4" s="10">
        <f t="shared" si="6"/>
        <v>9</v>
      </c>
      <c r="L4" s="10">
        <f t="shared" si="7"/>
        <v>23</v>
      </c>
      <c r="M4" s="10">
        <f t="shared" si="8"/>
        <v>0.5615190626</v>
      </c>
      <c r="O4" s="7"/>
    </row>
    <row r="5">
      <c r="A5" s="4" t="s">
        <v>44</v>
      </c>
      <c r="B5" s="7">
        <v>4471.0</v>
      </c>
      <c r="C5" s="7">
        <v>178.0</v>
      </c>
      <c r="D5" s="16">
        <v>2382.0</v>
      </c>
      <c r="E5" s="16">
        <v>93.0</v>
      </c>
      <c r="F5" s="7">
        <f t="shared" si="1"/>
        <v>0.9595347459</v>
      </c>
      <c r="G5" s="7">
        <f t="shared" si="2"/>
        <v>0.7108946789</v>
      </c>
      <c r="H5" s="7">
        <f t="shared" si="3"/>
        <v>1.295138304</v>
      </c>
      <c r="I5" s="10">
        <f t="shared" si="4"/>
        <v>93</v>
      </c>
      <c r="J5" s="10">
        <f t="shared" si="5"/>
        <v>2382</v>
      </c>
      <c r="K5" s="10">
        <f t="shared" si="6"/>
        <v>85</v>
      </c>
      <c r="L5" s="10">
        <f t="shared" si="7"/>
        <v>2089</v>
      </c>
      <c r="M5" s="10">
        <f t="shared" si="8"/>
        <v>0.1530225711</v>
      </c>
      <c r="O5" s="7"/>
    </row>
    <row r="6">
      <c r="A6" s="4" t="s">
        <v>45</v>
      </c>
      <c r="B6" s="1">
        <v>17.0</v>
      </c>
      <c r="C6" s="1">
        <v>17.0</v>
      </c>
      <c r="D6" s="4">
        <v>16.0</v>
      </c>
      <c r="E6" s="1">
        <v>13.0</v>
      </c>
      <c r="F6" s="7">
        <f t="shared" si="1"/>
        <v>0.203125</v>
      </c>
      <c r="G6" s="7">
        <f t="shared" si="2"/>
        <v>0.02015586344</v>
      </c>
      <c r="H6" s="7">
        <f t="shared" si="3"/>
        <v>2.047035382</v>
      </c>
      <c r="I6" s="10">
        <f t="shared" si="4"/>
        <v>13</v>
      </c>
      <c r="J6" s="10">
        <f t="shared" si="5"/>
        <v>16</v>
      </c>
      <c r="K6" s="10">
        <f t="shared" si="6"/>
        <v>4</v>
      </c>
      <c r="L6" s="10">
        <f t="shared" si="7"/>
        <v>1</v>
      </c>
      <c r="M6" s="10">
        <f t="shared" si="8"/>
        <v>1.178737917</v>
      </c>
      <c r="O6" s="7"/>
    </row>
    <row r="7">
      <c r="A7" s="4" t="s">
        <v>22</v>
      </c>
      <c r="B7" s="7">
        <v>339.0</v>
      </c>
      <c r="C7" s="7">
        <v>29.0</v>
      </c>
      <c r="D7" s="4">
        <f>133+52</f>
        <v>185</v>
      </c>
      <c r="E7" s="1">
        <f>9+8</f>
        <v>17</v>
      </c>
      <c r="F7" s="7">
        <f t="shared" si="1"/>
        <v>1.179279279</v>
      </c>
      <c r="G7" s="7">
        <f t="shared" si="2"/>
        <v>0.546404715</v>
      </c>
      <c r="H7" s="7">
        <f t="shared" si="3"/>
        <v>2.545182317</v>
      </c>
      <c r="I7" s="10">
        <f t="shared" si="4"/>
        <v>17</v>
      </c>
      <c r="J7" s="10">
        <f t="shared" si="5"/>
        <v>185</v>
      </c>
      <c r="K7" s="10">
        <f t="shared" si="6"/>
        <v>12</v>
      </c>
      <c r="L7" s="10">
        <f t="shared" si="7"/>
        <v>154</v>
      </c>
      <c r="M7" s="10">
        <f t="shared" si="8"/>
        <v>0.3924993945</v>
      </c>
      <c r="O7" s="7"/>
    </row>
    <row r="8">
      <c r="A8" s="4" t="s">
        <v>46</v>
      </c>
      <c r="B8" s="7">
        <v>459.0</v>
      </c>
      <c r="C8" s="7">
        <v>42.0</v>
      </c>
      <c r="D8" s="16">
        <v>257.0</v>
      </c>
      <c r="E8" s="7">
        <v>29.0</v>
      </c>
      <c r="F8" s="7">
        <f t="shared" si="1"/>
        <v>1.753367255</v>
      </c>
      <c r="G8" s="7">
        <f>EXP(LOG($F8, EXP(1)) - 1.96*$M8)</f>
        <v>0.8885846912</v>
      </c>
      <c r="H8" s="7">
        <f>EXP(LOG($F8, EXP(1)) + 1.96*$M8)</f>
        <v>3.459767833</v>
      </c>
      <c r="I8" s="7">
        <f t="shared" si="4"/>
        <v>29</v>
      </c>
      <c r="J8" s="7">
        <f t="shared" si="5"/>
        <v>257</v>
      </c>
      <c r="K8" s="7">
        <f t="shared" si="6"/>
        <v>13</v>
      </c>
      <c r="L8" s="7">
        <f t="shared" si="7"/>
        <v>202</v>
      </c>
      <c r="M8" s="7">
        <f>SQRT((1/I8) + (1/J8) + (1/K8) + (1/L8))</f>
        <v>0.3467670417</v>
      </c>
      <c r="O8" s="7"/>
    </row>
    <row r="9">
      <c r="A9" s="4" t="s">
        <v>47</v>
      </c>
      <c r="B9" s="1">
        <v>3379.0</v>
      </c>
      <c r="C9" s="1">
        <v>222.0</v>
      </c>
      <c r="D9" s="4">
        <v>1574.0</v>
      </c>
      <c r="E9" s="1">
        <v>112.0</v>
      </c>
      <c r="F9" s="7">
        <f t="shared" si="1"/>
        <v>1.167610027</v>
      </c>
      <c r="G9" s="7">
        <f t="shared" ref="G9:G19" si="9">EXP(log($F9, exp(1)) - 1.96*$M9)</f>
        <v>0.889861897</v>
      </c>
      <c r="H9" s="7">
        <f t="shared" ref="H9:H19" si="10">EXP(log($F9, exp(1)) + 1.96*$M9)</f>
        <v>1.532050286</v>
      </c>
      <c r="I9" s="10">
        <f t="shared" si="4"/>
        <v>112</v>
      </c>
      <c r="J9" s="10">
        <f t="shared" si="5"/>
        <v>1574</v>
      </c>
      <c r="K9" s="10">
        <f t="shared" si="6"/>
        <v>110</v>
      </c>
      <c r="L9" s="10">
        <f t="shared" si="7"/>
        <v>1805</v>
      </c>
      <c r="M9" s="10">
        <f t="shared" ref="M9:M19" si="11">sqrt((1/I9) + (1/J9) + (1/K9) + (1/L9))</f>
        <v>0.1385958916</v>
      </c>
      <c r="O9" s="7"/>
    </row>
    <row r="10">
      <c r="A10" s="4" t="s">
        <v>32</v>
      </c>
      <c r="B10" s="1">
        <v>15811.0</v>
      </c>
      <c r="C10" s="1">
        <v>858.0</v>
      </c>
      <c r="D10" s="4">
        <v>9170.0</v>
      </c>
      <c r="E10" s="1">
        <v>500.0</v>
      </c>
      <c r="F10" s="7">
        <f t="shared" si="1"/>
        <v>1.011465612</v>
      </c>
      <c r="G10" s="7">
        <f t="shared" si="9"/>
        <v>0.8799201188</v>
      </c>
      <c r="H10" s="7">
        <f t="shared" si="10"/>
        <v>1.162676774</v>
      </c>
      <c r="I10" s="10">
        <f t="shared" si="4"/>
        <v>500</v>
      </c>
      <c r="J10" s="10">
        <f t="shared" si="5"/>
        <v>9170</v>
      </c>
      <c r="K10" s="10">
        <f t="shared" si="6"/>
        <v>358</v>
      </c>
      <c r="L10" s="10">
        <f t="shared" si="7"/>
        <v>6641</v>
      </c>
      <c r="M10" s="10">
        <f t="shared" si="11"/>
        <v>0.07108394387</v>
      </c>
      <c r="O10" s="7"/>
    </row>
    <row r="11">
      <c r="A11" s="4" t="s">
        <v>23</v>
      </c>
      <c r="B11" s="1">
        <v>81.0</v>
      </c>
      <c r="C11" s="1">
        <v>28.0</v>
      </c>
      <c r="D11" s="4">
        <v>52.0</v>
      </c>
      <c r="E11" s="1">
        <v>20.0</v>
      </c>
      <c r="F11" s="7">
        <f t="shared" si="1"/>
        <v>1.394230769</v>
      </c>
      <c r="G11" s="7">
        <f t="shared" si="9"/>
        <v>0.5460702663</v>
      </c>
      <c r="H11" s="7">
        <f t="shared" si="10"/>
        <v>3.559760635</v>
      </c>
      <c r="I11" s="10">
        <f t="shared" si="4"/>
        <v>20</v>
      </c>
      <c r="J11" s="10">
        <f t="shared" si="5"/>
        <v>52</v>
      </c>
      <c r="K11" s="10">
        <f t="shared" si="6"/>
        <v>8</v>
      </c>
      <c r="L11" s="10">
        <f t="shared" si="7"/>
        <v>29</v>
      </c>
      <c r="M11" s="10">
        <f t="shared" si="11"/>
        <v>0.4782400316</v>
      </c>
      <c r="O11" s="7"/>
    </row>
    <row r="12">
      <c r="A12" s="9" t="s">
        <v>48</v>
      </c>
      <c r="B12" s="3">
        <v>132.0</v>
      </c>
      <c r="C12" s="3">
        <v>66.0</v>
      </c>
      <c r="D12" s="8">
        <v>74.0</v>
      </c>
      <c r="E12" s="8">
        <v>40.0</v>
      </c>
      <c r="F12" s="7">
        <f t="shared" si="1"/>
        <v>1.205821206</v>
      </c>
      <c r="G12" s="7">
        <f t="shared" si="9"/>
        <v>0.6607001372</v>
      </c>
      <c r="H12" s="7">
        <f t="shared" si="10"/>
        <v>2.20070301</v>
      </c>
      <c r="I12" s="10">
        <f t="shared" si="4"/>
        <v>40</v>
      </c>
      <c r="J12" s="10">
        <f t="shared" si="5"/>
        <v>74</v>
      </c>
      <c r="K12" s="10">
        <f t="shared" si="6"/>
        <v>26</v>
      </c>
      <c r="L12" s="10">
        <f t="shared" si="7"/>
        <v>58</v>
      </c>
      <c r="M12" s="10">
        <f t="shared" si="11"/>
        <v>0.3069469519</v>
      </c>
    </row>
    <row r="13">
      <c r="A13" s="17" t="s">
        <v>49</v>
      </c>
      <c r="B13" s="7">
        <v>1842.0</v>
      </c>
      <c r="C13" s="7">
        <v>170.0</v>
      </c>
      <c r="D13" s="7">
        <v>672.0</v>
      </c>
      <c r="E13" s="7">
        <v>59.0</v>
      </c>
      <c r="F13" s="7">
        <f t="shared" si="1"/>
        <v>0.9254343629</v>
      </c>
      <c r="G13" s="7">
        <f t="shared" si="9"/>
        <v>0.6654973094</v>
      </c>
      <c r="H13" s="7">
        <f t="shared" si="10"/>
        <v>1.28690041</v>
      </c>
      <c r="I13" s="10">
        <f t="shared" si="4"/>
        <v>59</v>
      </c>
      <c r="J13" s="10">
        <f t="shared" si="5"/>
        <v>672</v>
      </c>
      <c r="K13" s="10">
        <f t="shared" si="6"/>
        <v>111</v>
      </c>
      <c r="L13" s="10">
        <f t="shared" si="7"/>
        <v>1170</v>
      </c>
      <c r="M13" s="10">
        <f t="shared" si="11"/>
        <v>0.1682288847</v>
      </c>
    </row>
    <row r="14">
      <c r="A14" s="4" t="s">
        <v>24</v>
      </c>
      <c r="B14" s="1">
        <v>328.0</v>
      </c>
      <c r="C14" s="1">
        <v>26.0</v>
      </c>
      <c r="D14" s="4">
        <v>205.0</v>
      </c>
      <c r="E14" s="1">
        <v>19.0</v>
      </c>
      <c r="F14" s="7">
        <f t="shared" si="1"/>
        <v>1.628571429</v>
      </c>
      <c r="G14" s="7">
        <f t="shared" si="9"/>
        <v>0.6654702659</v>
      </c>
      <c r="H14" s="7">
        <f t="shared" si="10"/>
        <v>3.985519766</v>
      </c>
      <c r="I14" s="10">
        <f t="shared" si="4"/>
        <v>19</v>
      </c>
      <c r="J14" s="10">
        <f t="shared" si="5"/>
        <v>205</v>
      </c>
      <c r="K14" s="10">
        <f t="shared" si="6"/>
        <v>7</v>
      </c>
      <c r="L14" s="10">
        <f t="shared" si="7"/>
        <v>123</v>
      </c>
      <c r="M14" s="10">
        <f t="shared" si="11"/>
        <v>0.4566145551</v>
      </c>
      <c r="O14" s="18"/>
    </row>
    <row r="15">
      <c r="A15" s="4" t="s">
        <v>50</v>
      </c>
      <c r="B15" s="1">
        <v>3656.0</v>
      </c>
      <c r="C15" s="1">
        <v>720.0</v>
      </c>
      <c r="D15" s="4">
        <v>1560.0</v>
      </c>
      <c r="E15" s="1">
        <v>409.0</v>
      </c>
      <c r="F15" s="7">
        <f t="shared" si="1"/>
        <v>1.766971721</v>
      </c>
      <c r="G15" s="7">
        <f t="shared" si="9"/>
        <v>1.503651684</v>
      </c>
      <c r="H15" s="7">
        <f t="shared" si="10"/>
        <v>2.076404459</v>
      </c>
      <c r="I15" s="10">
        <f t="shared" si="4"/>
        <v>409</v>
      </c>
      <c r="J15" s="10">
        <f t="shared" si="5"/>
        <v>1560</v>
      </c>
      <c r="K15" s="10">
        <f t="shared" si="6"/>
        <v>311</v>
      </c>
      <c r="L15" s="10">
        <f t="shared" si="7"/>
        <v>2096</v>
      </c>
      <c r="M15" s="10">
        <f t="shared" si="11"/>
        <v>0.08233193024</v>
      </c>
      <c r="O15" s="7"/>
    </row>
    <row r="16">
      <c r="A16" s="14" t="s">
        <v>51</v>
      </c>
      <c r="B16" s="15">
        <v>9649.0</v>
      </c>
      <c r="C16" s="15">
        <v>704.0</v>
      </c>
      <c r="D16" s="14">
        <v>7545.0</v>
      </c>
      <c r="E16" s="15">
        <v>507.0</v>
      </c>
      <c r="F16" s="7">
        <f t="shared" si="1"/>
        <v>0.7176756719</v>
      </c>
      <c r="G16" s="7">
        <f t="shared" si="9"/>
        <v>0.6045694877</v>
      </c>
      <c r="H16" s="7">
        <f t="shared" si="10"/>
        <v>0.8519423829</v>
      </c>
      <c r="I16" s="10">
        <f t="shared" si="4"/>
        <v>507</v>
      </c>
      <c r="J16" s="10">
        <f t="shared" si="5"/>
        <v>7545</v>
      </c>
      <c r="K16" s="10">
        <f t="shared" si="6"/>
        <v>197</v>
      </c>
      <c r="L16" s="10">
        <f t="shared" si="7"/>
        <v>2104</v>
      </c>
      <c r="M16" s="10">
        <f t="shared" si="11"/>
        <v>0.08750058283</v>
      </c>
      <c r="O16" s="7"/>
    </row>
    <row r="17">
      <c r="A17" s="4" t="s">
        <v>52</v>
      </c>
      <c r="B17" s="1">
        <v>185.0</v>
      </c>
      <c r="C17" s="1">
        <v>15.0</v>
      </c>
      <c r="D17" s="4">
        <v>123.0</v>
      </c>
      <c r="E17" s="1">
        <v>8.0</v>
      </c>
      <c r="F17" s="7">
        <f t="shared" si="1"/>
        <v>0.5760743322</v>
      </c>
      <c r="G17" s="7">
        <f t="shared" si="9"/>
        <v>0.1997167686</v>
      </c>
      <c r="H17" s="7">
        <f t="shared" si="10"/>
        <v>1.661661354</v>
      </c>
      <c r="I17" s="10">
        <f t="shared" si="4"/>
        <v>8</v>
      </c>
      <c r="J17" s="10">
        <f t="shared" si="5"/>
        <v>123</v>
      </c>
      <c r="K17" s="10">
        <f t="shared" si="6"/>
        <v>7</v>
      </c>
      <c r="L17" s="10">
        <f t="shared" si="7"/>
        <v>62</v>
      </c>
      <c r="M17" s="10">
        <f t="shared" si="11"/>
        <v>0.5404778038</v>
      </c>
      <c r="O17" s="7"/>
    </row>
    <row r="18">
      <c r="A18" s="4" t="s">
        <v>53</v>
      </c>
      <c r="B18" s="1">
        <v>143.0</v>
      </c>
      <c r="C18" s="1">
        <v>143.0</v>
      </c>
      <c r="D18" s="4">
        <v>110.0</v>
      </c>
      <c r="E18" s="1">
        <v>102.0</v>
      </c>
      <c r="F18" s="7">
        <f t="shared" si="1"/>
        <v>0.7463414634</v>
      </c>
      <c r="G18" s="7">
        <f t="shared" si="9"/>
        <v>0.4385577585</v>
      </c>
      <c r="H18" s="7">
        <f t="shared" si="10"/>
        <v>1.270130489</v>
      </c>
      <c r="I18" s="10">
        <f t="shared" si="4"/>
        <v>102</v>
      </c>
      <c r="J18" s="10">
        <f t="shared" si="5"/>
        <v>110</v>
      </c>
      <c r="K18" s="10">
        <f t="shared" si="6"/>
        <v>41</v>
      </c>
      <c r="L18" s="10">
        <f t="shared" si="7"/>
        <v>33</v>
      </c>
      <c r="M18" s="10">
        <f t="shared" si="11"/>
        <v>0.2712712754</v>
      </c>
      <c r="O18" s="7"/>
    </row>
    <row r="19">
      <c r="A19" s="14" t="s">
        <v>39</v>
      </c>
      <c r="B19" s="15">
        <v>4592.0</v>
      </c>
      <c r="C19" s="1">
        <f>493+225</f>
        <v>718</v>
      </c>
      <c r="D19" s="14">
        <v>3375.0</v>
      </c>
      <c r="E19" s="1">
        <f>338+174</f>
        <v>512</v>
      </c>
      <c r="F19" s="7">
        <f t="shared" si="1"/>
        <v>0.896230133</v>
      </c>
      <c r="G19" s="7">
        <f t="shared" si="9"/>
        <v>0.7527309572</v>
      </c>
      <c r="H19" s="7">
        <f t="shared" si="10"/>
        <v>1.067085715</v>
      </c>
      <c r="I19" s="10">
        <f t="shared" si="4"/>
        <v>512</v>
      </c>
      <c r="J19" s="10">
        <f t="shared" si="5"/>
        <v>3375</v>
      </c>
      <c r="K19" s="10">
        <f t="shared" si="6"/>
        <v>206</v>
      </c>
      <c r="L19" s="10">
        <f t="shared" si="7"/>
        <v>1217</v>
      </c>
      <c r="M19" s="10">
        <f t="shared" si="11"/>
        <v>0.08902518135</v>
      </c>
      <c r="O19" s="7"/>
    </row>
    <row r="20">
      <c r="A20" s="4"/>
      <c r="B20" s="4"/>
      <c r="C20" s="4"/>
      <c r="D20" s="9"/>
      <c r="E20" s="9"/>
      <c r="F20" s="3"/>
      <c r="G20" s="1"/>
      <c r="H20" s="1"/>
      <c r="O2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54</v>
      </c>
      <c r="B1" s="4" t="s">
        <v>13</v>
      </c>
      <c r="C1" s="4" t="s">
        <v>14</v>
      </c>
      <c r="D1" s="9" t="s">
        <v>15</v>
      </c>
      <c r="E1" s="9" t="s">
        <v>16</v>
      </c>
      <c r="F1" s="3" t="s">
        <v>41</v>
      </c>
      <c r="G1" s="1" t="s">
        <v>3</v>
      </c>
      <c r="H1" s="1" t="s">
        <v>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9</v>
      </c>
      <c r="N1" s="19"/>
      <c r="O1" s="20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2" t="s">
        <v>55</v>
      </c>
      <c r="B2" s="7">
        <v>124.0</v>
      </c>
      <c r="C2" s="7">
        <v>53.0</v>
      </c>
      <c r="D2" s="7">
        <v>14.0</v>
      </c>
      <c r="E2" s="7">
        <v>10.0</v>
      </c>
      <c r="F2" s="7">
        <f t="shared" ref="F2:F10" si="1">(I2*L2)/(J2*K2)</f>
        <v>1.827242525</v>
      </c>
      <c r="G2" s="7">
        <f>EXP(log($F2, exp(1)) - 1.96*$M2)</f>
        <v>0.7543001332</v>
      </c>
      <c r="H2" s="7">
        <f>EXP(log($F2, exp(1)) + 1.96*$M2)</f>
        <v>4.42637499</v>
      </c>
      <c r="I2" s="10">
        <f t="shared" ref="I2:I10" si="2">E2</f>
        <v>10</v>
      </c>
      <c r="J2" s="10">
        <f t="shared" ref="J2:J10" si="3">D2</f>
        <v>14</v>
      </c>
      <c r="K2" s="10">
        <f t="shared" ref="K2:K10" si="4">C2-E2</f>
        <v>43</v>
      </c>
      <c r="L2" s="10">
        <f t="shared" ref="L2:L10" si="5">B2-D2</f>
        <v>110</v>
      </c>
      <c r="M2" s="10">
        <f>sqrt((1/I2) + (1/J2) + (1/K2) + (1/L2))</f>
        <v>0.4514147699</v>
      </c>
      <c r="O2" s="7"/>
    </row>
    <row r="3">
      <c r="A3" s="21" t="s">
        <v>46</v>
      </c>
      <c r="B3" s="22">
        <v>309.0</v>
      </c>
      <c r="C3" s="7">
        <v>42.0</v>
      </c>
      <c r="D3" s="7">
        <f>174-24</f>
        <v>150</v>
      </c>
      <c r="E3" s="7">
        <v>24.0</v>
      </c>
      <c r="F3" s="7">
        <f t="shared" si="1"/>
        <v>1.413333333</v>
      </c>
      <c r="G3" s="7">
        <f>EXP(LOG($F3, EXP(1)) - 1.96*$M3)</f>
        <v>0.7373933555</v>
      </c>
      <c r="H3" s="7">
        <f>EXP(LOG($F3, EXP(1)) + 1.96*$M3)</f>
        <v>2.708881354</v>
      </c>
      <c r="I3" s="10">
        <f t="shared" si="2"/>
        <v>24</v>
      </c>
      <c r="J3" s="10">
        <f t="shared" si="3"/>
        <v>150</v>
      </c>
      <c r="K3" s="10">
        <f t="shared" si="4"/>
        <v>18</v>
      </c>
      <c r="L3" s="10">
        <f t="shared" si="5"/>
        <v>159</v>
      </c>
      <c r="M3" s="7">
        <f>SQRT((1/I3) + (1/J3) + (1/K3) + (1/L3))</f>
        <v>0.3319310125</v>
      </c>
      <c r="O3" s="7"/>
    </row>
    <row r="4">
      <c r="A4" s="12" t="s">
        <v>23</v>
      </c>
      <c r="B4" s="7">
        <v>81.0</v>
      </c>
      <c r="C4" s="7">
        <v>28.0</v>
      </c>
      <c r="D4" s="7">
        <v>14.0</v>
      </c>
      <c r="E4" s="7">
        <v>9.0</v>
      </c>
      <c r="F4" s="7">
        <f t="shared" si="1"/>
        <v>2.266917293</v>
      </c>
      <c r="G4" s="7">
        <f t="shared" ref="G4:G10" si="6">EXP(log($F4, exp(1)) - 1.96*$M4)</f>
        <v>0.8506381065</v>
      </c>
      <c r="H4" s="7">
        <f t="shared" ref="H4:H10" si="7">EXP(log($F4, exp(1)) + 1.96*$M4)</f>
        <v>6.041245948</v>
      </c>
      <c r="I4" s="10">
        <f t="shared" si="2"/>
        <v>9</v>
      </c>
      <c r="J4" s="10">
        <f t="shared" si="3"/>
        <v>14</v>
      </c>
      <c r="K4" s="10">
        <f t="shared" si="4"/>
        <v>19</v>
      </c>
      <c r="L4" s="10">
        <f t="shared" si="5"/>
        <v>67</v>
      </c>
      <c r="M4" s="10">
        <f t="shared" ref="M4:M10" si="8">sqrt((1/I4) + (1/J4) + (1/K4) + (1/L4))</f>
        <v>0.5000966253</v>
      </c>
      <c r="O4" s="7"/>
    </row>
    <row r="5">
      <c r="A5" s="12" t="s">
        <v>56</v>
      </c>
      <c r="B5" s="7">
        <v>9804.0</v>
      </c>
      <c r="C5" s="7">
        <v>189.0</v>
      </c>
      <c r="D5" s="7">
        <v>1305.0</v>
      </c>
      <c r="E5" s="7">
        <v>63.0</v>
      </c>
      <c r="F5" s="7">
        <f t="shared" si="1"/>
        <v>3.256321839</v>
      </c>
      <c r="G5" s="7">
        <f t="shared" si="6"/>
        <v>2.393126909</v>
      </c>
      <c r="H5" s="7">
        <f t="shared" si="7"/>
        <v>4.430869036</v>
      </c>
      <c r="I5" s="10">
        <f t="shared" si="2"/>
        <v>63</v>
      </c>
      <c r="J5" s="10">
        <f t="shared" si="3"/>
        <v>1305</v>
      </c>
      <c r="K5" s="10">
        <f t="shared" si="4"/>
        <v>126</v>
      </c>
      <c r="L5" s="10">
        <f t="shared" si="5"/>
        <v>8499</v>
      </c>
      <c r="M5" s="10">
        <f t="shared" si="8"/>
        <v>0.1571415548</v>
      </c>
      <c r="O5" s="7"/>
    </row>
    <row r="6">
      <c r="A6" s="3" t="s">
        <v>57</v>
      </c>
      <c r="B6" s="7">
        <v>328.0</v>
      </c>
      <c r="C6" s="7">
        <v>26.0</v>
      </c>
      <c r="D6" s="7">
        <v>62.0</v>
      </c>
      <c r="E6" s="7">
        <v>6.0</v>
      </c>
      <c r="F6" s="7">
        <f t="shared" si="1"/>
        <v>1.287096774</v>
      </c>
      <c r="G6" s="7">
        <f t="shared" si="6"/>
        <v>0.4961412019</v>
      </c>
      <c r="H6" s="7">
        <f t="shared" si="7"/>
        <v>3.339005307</v>
      </c>
      <c r="I6" s="10">
        <f t="shared" si="2"/>
        <v>6</v>
      </c>
      <c r="J6" s="10">
        <f t="shared" si="3"/>
        <v>62</v>
      </c>
      <c r="K6" s="10">
        <f t="shared" si="4"/>
        <v>20</v>
      </c>
      <c r="L6" s="10">
        <f t="shared" si="5"/>
        <v>266</v>
      </c>
      <c r="M6" s="10">
        <f t="shared" si="8"/>
        <v>0.4863693015</v>
      </c>
      <c r="O6" s="7"/>
    </row>
    <row r="7">
      <c r="A7" s="12" t="s">
        <v>50</v>
      </c>
      <c r="B7" s="7">
        <v>3656.0</v>
      </c>
      <c r="C7" s="7">
        <v>720.0</v>
      </c>
      <c r="D7" s="7">
        <v>686.0</v>
      </c>
      <c r="E7" s="7">
        <v>144.0</v>
      </c>
      <c r="F7" s="7">
        <f t="shared" si="1"/>
        <v>1.082361516</v>
      </c>
      <c r="G7" s="7">
        <f t="shared" si="6"/>
        <v>0.885630392</v>
      </c>
      <c r="H7" s="7">
        <f t="shared" si="7"/>
        <v>1.322793867</v>
      </c>
      <c r="I7" s="10">
        <f t="shared" si="2"/>
        <v>144</v>
      </c>
      <c r="J7" s="10">
        <f t="shared" si="3"/>
        <v>686</v>
      </c>
      <c r="K7" s="10">
        <f t="shared" si="4"/>
        <v>576</v>
      </c>
      <c r="L7" s="10">
        <f t="shared" si="5"/>
        <v>2970</v>
      </c>
      <c r="M7" s="10">
        <f t="shared" si="8"/>
        <v>0.1023473587</v>
      </c>
      <c r="O7" s="7"/>
    </row>
    <row r="8">
      <c r="A8" s="12" t="s">
        <v>34</v>
      </c>
      <c r="B8" s="6">
        <v>27.0</v>
      </c>
      <c r="C8" s="6">
        <v>23.0</v>
      </c>
      <c r="D8" s="7">
        <v>4.0</v>
      </c>
      <c r="E8" s="7">
        <v>7.0</v>
      </c>
      <c r="F8" s="7">
        <f t="shared" si="1"/>
        <v>2.515625</v>
      </c>
      <c r="G8" s="7">
        <f t="shared" si="6"/>
        <v>0.6301527552</v>
      </c>
      <c r="H8" s="7">
        <f t="shared" si="7"/>
        <v>10.04259537</v>
      </c>
      <c r="I8" s="10">
        <f t="shared" si="2"/>
        <v>7</v>
      </c>
      <c r="J8" s="10">
        <f t="shared" si="3"/>
        <v>4</v>
      </c>
      <c r="K8" s="10">
        <f t="shared" si="4"/>
        <v>16</v>
      </c>
      <c r="L8" s="10">
        <f t="shared" si="5"/>
        <v>23</v>
      </c>
      <c r="M8" s="10">
        <f t="shared" si="8"/>
        <v>0.7062828072</v>
      </c>
      <c r="O8" s="7"/>
    </row>
    <row r="9">
      <c r="A9" s="8" t="s">
        <v>58</v>
      </c>
      <c r="B9" s="8">
        <v>328.0</v>
      </c>
      <c r="C9" s="8">
        <v>26.0</v>
      </c>
      <c r="D9" s="8">
        <v>62.0</v>
      </c>
      <c r="E9" s="8">
        <v>6.0</v>
      </c>
      <c r="F9" s="7">
        <f t="shared" si="1"/>
        <v>1.287096774</v>
      </c>
      <c r="G9" s="7">
        <f t="shared" si="6"/>
        <v>0.4961412019</v>
      </c>
      <c r="H9" s="7">
        <f t="shared" si="7"/>
        <v>3.339005307</v>
      </c>
      <c r="I9" s="10">
        <f t="shared" si="2"/>
        <v>6</v>
      </c>
      <c r="J9" s="10">
        <f t="shared" si="3"/>
        <v>62</v>
      </c>
      <c r="K9" s="10">
        <f t="shared" si="4"/>
        <v>20</v>
      </c>
      <c r="L9" s="10">
        <f t="shared" si="5"/>
        <v>266</v>
      </c>
      <c r="M9" s="10">
        <f t="shared" si="8"/>
        <v>0.4863693015</v>
      </c>
      <c r="O9" s="7"/>
    </row>
    <row r="10">
      <c r="A10" s="12" t="s">
        <v>25</v>
      </c>
      <c r="B10" s="7">
        <v>164.0</v>
      </c>
      <c r="C10" s="7">
        <v>136.0</v>
      </c>
      <c r="D10" s="7">
        <v>33.0</v>
      </c>
      <c r="E10" s="6">
        <v>54.0</v>
      </c>
      <c r="F10" s="7">
        <f t="shared" si="1"/>
        <v>2.614190687</v>
      </c>
      <c r="G10" s="7">
        <f t="shared" si="6"/>
        <v>1.564257314</v>
      </c>
      <c r="H10" s="7">
        <f t="shared" si="7"/>
        <v>4.368841934</v>
      </c>
      <c r="I10" s="10">
        <f t="shared" si="2"/>
        <v>54</v>
      </c>
      <c r="J10" s="10">
        <f t="shared" si="3"/>
        <v>33</v>
      </c>
      <c r="K10" s="10">
        <f t="shared" si="4"/>
        <v>82</v>
      </c>
      <c r="L10" s="10">
        <f t="shared" si="5"/>
        <v>131</v>
      </c>
      <c r="M10" s="10">
        <f t="shared" si="8"/>
        <v>0.2620119435</v>
      </c>
      <c r="O10" s="7"/>
    </row>
    <row r="11">
      <c r="O1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12</v>
      </c>
      <c r="B1" s="4" t="s">
        <v>13</v>
      </c>
      <c r="C1" s="4" t="s">
        <v>14</v>
      </c>
      <c r="D1" s="9" t="s">
        <v>15</v>
      </c>
      <c r="E1" s="9" t="s">
        <v>16</v>
      </c>
      <c r="F1" s="3" t="s">
        <v>41</v>
      </c>
      <c r="G1" s="1" t="s">
        <v>3</v>
      </c>
      <c r="H1" s="1" t="s">
        <v>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59</v>
      </c>
      <c r="O1" s="1"/>
    </row>
    <row r="2">
      <c r="A2" s="12" t="s">
        <v>55</v>
      </c>
      <c r="B2" s="8">
        <v>124.0</v>
      </c>
      <c r="C2" s="8">
        <v>53.0</v>
      </c>
      <c r="D2" s="8">
        <v>19.0</v>
      </c>
      <c r="E2" s="8">
        <v>19.0</v>
      </c>
      <c r="F2" s="23">
        <f t="shared" ref="F2:F11" si="1">(I2*L2)/(J2*K2)</f>
        <v>3.088235294</v>
      </c>
      <c r="G2" s="7">
        <f t="shared" ref="G2:G11" si="2">EXP(log($F2, exp(1)) - 1.96*$M2)</f>
        <v>1.467146072</v>
      </c>
      <c r="H2" s="7">
        <f t="shared" ref="H2:H11" si="3">EXP(log($F2, exp(1)) + 1.96*$M2)</f>
        <v>6.500509674</v>
      </c>
      <c r="I2" s="10">
        <f t="shared" ref="I2:I11" si="4">E2</f>
        <v>19</v>
      </c>
      <c r="J2" s="10">
        <f t="shared" ref="J2:J11" si="5">D2</f>
        <v>19</v>
      </c>
      <c r="K2" s="10">
        <f t="shared" ref="K2:K11" si="6">C2-E2</f>
        <v>34</v>
      </c>
      <c r="L2" s="10">
        <f t="shared" ref="L2:L11" si="7">B2-D2</f>
        <v>105</v>
      </c>
      <c r="M2" s="10">
        <f t="shared" ref="M2:M11" si="8">sqrt((1/I2) + (1/J2) + (1/K2) + (1/L2))</f>
        <v>0.3797350815</v>
      </c>
      <c r="O2" s="7"/>
    </row>
    <row r="3">
      <c r="A3" s="24" t="s">
        <v>60</v>
      </c>
      <c r="B3" s="8">
        <v>246.0</v>
      </c>
      <c r="C3" s="8">
        <v>78.0</v>
      </c>
      <c r="D3" s="8">
        <v>53.0</v>
      </c>
      <c r="E3" s="8">
        <v>23.0</v>
      </c>
      <c r="F3" s="23">
        <f t="shared" si="1"/>
        <v>1.522813036</v>
      </c>
      <c r="G3" s="7">
        <f t="shared" si="2"/>
        <v>0.8579122842</v>
      </c>
      <c r="H3" s="7">
        <f t="shared" si="3"/>
        <v>2.703026388</v>
      </c>
      <c r="I3" s="10">
        <f t="shared" si="4"/>
        <v>23</v>
      </c>
      <c r="J3" s="10">
        <f t="shared" si="5"/>
        <v>53</v>
      </c>
      <c r="K3" s="10">
        <f t="shared" si="6"/>
        <v>55</v>
      </c>
      <c r="L3" s="10">
        <f t="shared" si="7"/>
        <v>193</v>
      </c>
      <c r="M3" s="10">
        <f t="shared" si="8"/>
        <v>0.2927615937</v>
      </c>
      <c r="O3" s="7"/>
    </row>
    <row r="4">
      <c r="A4" s="4" t="s">
        <v>61</v>
      </c>
      <c r="B4" s="7">
        <v>97.0</v>
      </c>
      <c r="C4" s="7">
        <v>47.0</v>
      </c>
      <c r="D4" s="7">
        <v>20.0</v>
      </c>
      <c r="E4" s="7">
        <v>17.0</v>
      </c>
      <c r="F4" s="23">
        <f t="shared" si="1"/>
        <v>2.181666667</v>
      </c>
      <c r="G4" s="7">
        <f t="shared" si="2"/>
        <v>1.008111004</v>
      </c>
      <c r="H4" s="7">
        <f t="shared" si="3"/>
        <v>4.72137436</v>
      </c>
      <c r="I4" s="10">
        <f t="shared" si="4"/>
        <v>17</v>
      </c>
      <c r="J4" s="10">
        <f t="shared" si="5"/>
        <v>20</v>
      </c>
      <c r="K4" s="10">
        <f t="shared" si="6"/>
        <v>30</v>
      </c>
      <c r="L4" s="10">
        <f t="shared" si="7"/>
        <v>77</v>
      </c>
      <c r="M4" s="10">
        <f t="shared" si="8"/>
        <v>0.3938830737</v>
      </c>
      <c r="O4" s="7"/>
    </row>
    <row r="5">
      <c r="A5" s="4" t="s">
        <v>62</v>
      </c>
      <c r="B5" s="7">
        <v>146.0</v>
      </c>
      <c r="C5" s="7">
        <v>73.0</v>
      </c>
      <c r="D5" s="7">
        <v>46.0</v>
      </c>
      <c r="E5" s="7">
        <v>35.0</v>
      </c>
      <c r="F5" s="23">
        <f t="shared" si="1"/>
        <v>2.00228833</v>
      </c>
      <c r="G5" s="7">
        <f t="shared" si="2"/>
        <v>1.124587774</v>
      </c>
      <c r="H5" s="7">
        <f t="shared" si="3"/>
        <v>3.565002793</v>
      </c>
      <c r="I5" s="10">
        <f t="shared" si="4"/>
        <v>35</v>
      </c>
      <c r="J5" s="10">
        <f t="shared" si="5"/>
        <v>46</v>
      </c>
      <c r="K5" s="10">
        <f t="shared" si="6"/>
        <v>38</v>
      </c>
      <c r="L5" s="10">
        <f t="shared" si="7"/>
        <v>100</v>
      </c>
      <c r="M5" s="10">
        <f t="shared" si="8"/>
        <v>0.2943235439</v>
      </c>
      <c r="O5" s="7"/>
    </row>
    <row r="6">
      <c r="A6" s="4" t="s">
        <v>33</v>
      </c>
      <c r="B6" s="7">
        <v>26.0</v>
      </c>
      <c r="C6" s="7">
        <v>26.0</v>
      </c>
      <c r="D6" s="7">
        <v>7.0</v>
      </c>
      <c r="E6" s="7">
        <v>6.0</v>
      </c>
      <c r="F6" s="23">
        <f t="shared" si="1"/>
        <v>0.8142857143</v>
      </c>
      <c r="G6" s="7">
        <f t="shared" si="2"/>
        <v>0.2313668278</v>
      </c>
      <c r="H6" s="7">
        <f t="shared" si="3"/>
        <v>2.865843953</v>
      </c>
      <c r="I6" s="10">
        <f t="shared" si="4"/>
        <v>6</v>
      </c>
      <c r="J6" s="10">
        <f t="shared" si="5"/>
        <v>7</v>
      </c>
      <c r="K6" s="10">
        <f t="shared" si="6"/>
        <v>20</v>
      </c>
      <c r="L6" s="10">
        <f t="shared" si="7"/>
        <v>19</v>
      </c>
      <c r="M6" s="10">
        <f t="shared" si="8"/>
        <v>0.6419932932</v>
      </c>
      <c r="O6" s="7"/>
    </row>
    <row r="7">
      <c r="A7" s="4" t="s">
        <v>23</v>
      </c>
      <c r="B7" s="1">
        <v>81.0</v>
      </c>
      <c r="C7" s="1">
        <v>28.0</v>
      </c>
      <c r="D7" s="7">
        <v>6.0</v>
      </c>
      <c r="E7" s="7">
        <v>5.0</v>
      </c>
      <c r="F7" s="23">
        <f t="shared" si="1"/>
        <v>2.717391304</v>
      </c>
      <c r="G7" s="7">
        <f t="shared" si="2"/>
        <v>0.758963401</v>
      </c>
      <c r="H7" s="7">
        <f t="shared" si="3"/>
        <v>9.729343327</v>
      </c>
      <c r="I7" s="10">
        <f t="shared" si="4"/>
        <v>5</v>
      </c>
      <c r="J7" s="10">
        <f t="shared" si="5"/>
        <v>6</v>
      </c>
      <c r="K7" s="10">
        <f t="shared" si="6"/>
        <v>23</v>
      </c>
      <c r="L7" s="10">
        <f t="shared" si="7"/>
        <v>75</v>
      </c>
      <c r="M7" s="10">
        <f t="shared" si="8"/>
        <v>0.6507520733</v>
      </c>
    </row>
    <row r="8">
      <c r="A8" s="12" t="s">
        <v>63</v>
      </c>
      <c r="B8" s="8">
        <v>28634.0</v>
      </c>
      <c r="C8" s="8">
        <v>1397.0</v>
      </c>
      <c r="D8" s="8">
        <v>4020.0</v>
      </c>
      <c r="E8" s="8">
        <v>204.0</v>
      </c>
      <c r="F8" s="23">
        <f t="shared" si="1"/>
        <v>1.046998036</v>
      </c>
      <c r="G8" s="7">
        <f t="shared" si="2"/>
        <v>0.8991840761</v>
      </c>
      <c r="H8" s="7">
        <f t="shared" si="3"/>
        <v>1.219110654</v>
      </c>
      <c r="I8" s="10">
        <f t="shared" si="4"/>
        <v>204</v>
      </c>
      <c r="J8" s="10">
        <f t="shared" si="5"/>
        <v>4020</v>
      </c>
      <c r="K8" s="10">
        <f t="shared" si="6"/>
        <v>1193</v>
      </c>
      <c r="L8" s="10">
        <f t="shared" si="7"/>
        <v>24614</v>
      </c>
      <c r="M8" s="10">
        <f t="shared" si="8"/>
        <v>0.07765028819</v>
      </c>
    </row>
    <row r="9">
      <c r="A9" s="25" t="s">
        <v>64</v>
      </c>
      <c r="B9" s="8">
        <v>3656.0</v>
      </c>
      <c r="C9" s="8">
        <v>720.0</v>
      </c>
      <c r="D9" s="8">
        <v>614.0</v>
      </c>
      <c r="E9" s="8">
        <v>106.0</v>
      </c>
      <c r="F9" s="23">
        <f t="shared" si="1"/>
        <v>0.8553194198</v>
      </c>
      <c r="G9" s="7">
        <f t="shared" si="2"/>
        <v>0.6839115367</v>
      </c>
      <c r="H9" s="7">
        <f t="shared" si="3"/>
        <v>1.069687044</v>
      </c>
      <c r="I9" s="10">
        <f t="shared" si="4"/>
        <v>106</v>
      </c>
      <c r="J9" s="10">
        <f t="shared" si="5"/>
        <v>614</v>
      </c>
      <c r="K9" s="10">
        <f t="shared" si="6"/>
        <v>614</v>
      </c>
      <c r="L9" s="10">
        <f t="shared" si="7"/>
        <v>3042</v>
      </c>
      <c r="M9" s="10">
        <f t="shared" si="8"/>
        <v>0.1141053126</v>
      </c>
    </row>
    <row r="10">
      <c r="A10" s="12" t="s">
        <v>38</v>
      </c>
      <c r="B10" s="11">
        <v>25.0</v>
      </c>
      <c r="C10" s="11">
        <v>31.0</v>
      </c>
      <c r="D10" s="8">
        <v>2.0</v>
      </c>
      <c r="E10" s="8">
        <v>3.0</v>
      </c>
      <c r="F10" s="23">
        <f t="shared" si="1"/>
        <v>1.232142857</v>
      </c>
      <c r="G10" s="7">
        <f t="shared" si="2"/>
        <v>0.1894634579</v>
      </c>
      <c r="H10" s="7">
        <f t="shared" si="3"/>
        <v>8.013028145</v>
      </c>
      <c r="I10" s="10">
        <f t="shared" si="4"/>
        <v>3</v>
      </c>
      <c r="J10" s="10">
        <f t="shared" si="5"/>
        <v>2</v>
      </c>
      <c r="K10" s="10">
        <f t="shared" si="6"/>
        <v>28</v>
      </c>
      <c r="L10" s="10">
        <f t="shared" si="7"/>
        <v>23</v>
      </c>
      <c r="M10" s="10">
        <f t="shared" si="8"/>
        <v>0.9552622048</v>
      </c>
    </row>
    <row r="11">
      <c r="A11" s="4" t="s">
        <v>65</v>
      </c>
      <c r="B11" s="7">
        <v>332.0</v>
      </c>
      <c r="C11" s="7">
        <v>111.0</v>
      </c>
      <c r="D11" s="7">
        <v>39.0</v>
      </c>
      <c r="E11" s="7">
        <v>25.0</v>
      </c>
      <c r="F11" s="23">
        <f t="shared" si="1"/>
        <v>2.183959451</v>
      </c>
      <c r="G11" s="7">
        <f t="shared" si="2"/>
        <v>1.251584212</v>
      </c>
      <c r="H11" s="7">
        <f t="shared" si="3"/>
        <v>3.810913271</v>
      </c>
      <c r="I11" s="10">
        <f t="shared" si="4"/>
        <v>25</v>
      </c>
      <c r="J11" s="10">
        <f t="shared" si="5"/>
        <v>39</v>
      </c>
      <c r="K11" s="10">
        <f t="shared" si="6"/>
        <v>86</v>
      </c>
      <c r="L11" s="10">
        <f t="shared" si="7"/>
        <v>293</v>
      </c>
      <c r="M11" s="10">
        <f t="shared" si="8"/>
        <v>0.2840455983</v>
      </c>
      <c r="N11" s="23"/>
      <c r="P11" s="7"/>
      <c r="Q11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12</v>
      </c>
      <c r="B1" s="4" t="s">
        <v>13</v>
      </c>
      <c r="C1" s="4" t="s">
        <v>14</v>
      </c>
      <c r="D1" s="9" t="s">
        <v>15</v>
      </c>
      <c r="E1" s="9" t="s">
        <v>16</v>
      </c>
      <c r="F1" s="1" t="s">
        <v>0</v>
      </c>
      <c r="G1" s="1" t="s">
        <v>3</v>
      </c>
      <c r="H1" s="1" t="s">
        <v>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9</v>
      </c>
    </row>
    <row r="2">
      <c r="A2" s="4" t="s">
        <v>27</v>
      </c>
      <c r="B2" s="1">
        <v>194.0</v>
      </c>
      <c r="C2" s="1">
        <v>17.0</v>
      </c>
      <c r="D2" s="7">
        <v>7.0</v>
      </c>
      <c r="E2" s="7">
        <v>1.0</v>
      </c>
      <c r="F2" s="7">
        <f t="shared" ref="F2:F7" si="1">(I2*L2)/(J2*K2)</f>
        <v>1.669642857</v>
      </c>
      <c r="G2" s="7">
        <f t="shared" ref="G2:G7" si="2">EXP(log($F2, exp(1)) - 1.96*$M2)</f>
        <v>0.1932021905</v>
      </c>
      <c r="H2" s="7">
        <f t="shared" ref="H2:H7" si="3">EXP(log($F2, exp(1)) + 1.96*$M2)</f>
        <v>14.42896306</v>
      </c>
      <c r="I2" s="10">
        <f t="shared" ref="I2:I7" si="4">E2</f>
        <v>1</v>
      </c>
      <c r="J2" s="10">
        <f t="shared" ref="J2:J7" si="5">D2</f>
        <v>7</v>
      </c>
      <c r="K2" s="10">
        <f t="shared" ref="K2:K7" si="6">C2-E2</f>
        <v>16</v>
      </c>
      <c r="L2" s="10">
        <f t="shared" ref="L2:L7" si="7">B2-D2</f>
        <v>187</v>
      </c>
      <c r="M2" s="10">
        <f t="shared" ref="M2:M7" si="8">sqrt((1/I2) + (1/J2) + (1/K2) + (1/L2))</f>
        <v>1.100320288</v>
      </c>
    </row>
    <row r="3">
      <c r="A3" s="12" t="s">
        <v>66</v>
      </c>
      <c r="B3" s="22">
        <v>124.0</v>
      </c>
      <c r="C3" s="22">
        <v>53.0</v>
      </c>
      <c r="D3" s="22">
        <v>3.0</v>
      </c>
      <c r="E3" s="22">
        <v>2.0</v>
      </c>
      <c r="F3" s="7">
        <f t="shared" si="1"/>
        <v>1.581699346</v>
      </c>
      <c r="G3" s="7">
        <f t="shared" si="2"/>
        <v>0.2565573515</v>
      </c>
      <c r="H3" s="7">
        <f t="shared" si="3"/>
        <v>9.751319961</v>
      </c>
      <c r="I3" s="10">
        <f t="shared" si="4"/>
        <v>2</v>
      </c>
      <c r="J3" s="10">
        <f t="shared" si="5"/>
        <v>3</v>
      </c>
      <c r="K3" s="10">
        <f t="shared" si="6"/>
        <v>51</v>
      </c>
      <c r="L3" s="10">
        <f t="shared" si="7"/>
        <v>121</v>
      </c>
      <c r="M3" s="10">
        <f t="shared" si="8"/>
        <v>0.928011659</v>
      </c>
    </row>
    <row r="4">
      <c r="A4" s="4" t="s">
        <v>47</v>
      </c>
      <c r="B4" s="7">
        <v>3379.0</v>
      </c>
      <c r="C4" s="7">
        <v>222.0</v>
      </c>
      <c r="D4" s="7">
        <v>111.0</v>
      </c>
      <c r="E4" s="7">
        <v>7.0</v>
      </c>
      <c r="F4" s="7">
        <f t="shared" si="1"/>
        <v>0.9585585586</v>
      </c>
      <c r="G4" s="7">
        <f t="shared" si="2"/>
        <v>0.4410915979</v>
      </c>
      <c r="H4" s="7">
        <f t="shared" si="3"/>
        <v>2.083092298</v>
      </c>
      <c r="I4" s="10">
        <f t="shared" si="4"/>
        <v>7</v>
      </c>
      <c r="J4" s="10">
        <f t="shared" si="5"/>
        <v>111</v>
      </c>
      <c r="K4" s="10">
        <f t="shared" si="6"/>
        <v>215</v>
      </c>
      <c r="L4" s="10">
        <f t="shared" si="7"/>
        <v>3268</v>
      </c>
      <c r="M4" s="10">
        <f t="shared" si="8"/>
        <v>0.3960092325</v>
      </c>
    </row>
    <row r="5">
      <c r="A5" s="4" t="s">
        <v>23</v>
      </c>
      <c r="B5" s="1">
        <v>81.0</v>
      </c>
      <c r="C5" s="1">
        <v>28.0</v>
      </c>
      <c r="D5" s="7">
        <v>25.0</v>
      </c>
      <c r="E5" s="7">
        <v>3.0</v>
      </c>
      <c r="F5" s="7">
        <f t="shared" si="1"/>
        <v>0.2688</v>
      </c>
      <c r="G5" s="7">
        <f t="shared" si="2"/>
        <v>0.07421243603</v>
      </c>
      <c r="H5" s="7">
        <f t="shared" si="3"/>
        <v>0.9736028605</v>
      </c>
      <c r="I5" s="10">
        <f t="shared" si="4"/>
        <v>3</v>
      </c>
      <c r="J5" s="10">
        <f t="shared" si="5"/>
        <v>25</v>
      </c>
      <c r="K5" s="10">
        <f t="shared" si="6"/>
        <v>25</v>
      </c>
      <c r="L5" s="10">
        <f t="shared" si="7"/>
        <v>56</v>
      </c>
      <c r="M5" s="10">
        <f t="shared" si="8"/>
        <v>0.6566509546</v>
      </c>
    </row>
    <row r="6">
      <c r="A6" s="4" t="s">
        <v>25</v>
      </c>
      <c r="B6" s="7">
        <v>134.0</v>
      </c>
      <c r="C6" s="7">
        <v>136.0</v>
      </c>
      <c r="D6" s="7">
        <v>10.0</v>
      </c>
      <c r="E6" s="7">
        <v>9.0</v>
      </c>
      <c r="F6" s="7">
        <f t="shared" si="1"/>
        <v>0.8787401575</v>
      </c>
      <c r="G6" s="7">
        <f t="shared" si="2"/>
        <v>0.3453486907</v>
      </c>
      <c r="H6" s="7">
        <f t="shared" si="3"/>
        <v>2.235955384</v>
      </c>
      <c r="I6" s="10">
        <f t="shared" si="4"/>
        <v>9</v>
      </c>
      <c r="J6" s="10">
        <f t="shared" si="5"/>
        <v>10</v>
      </c>
      <c r="K6" s="10">
        <f t="shared" si="6"/>
        <v>127</v>
      </c>
      <c r="L6" s="10">
        <f t="shared" si="7"/>
        <v>124</v>
      </c>
      <c r="M6" s="10">
        <f t="shared" si="8"/>
        <v>0.4764972644</v>
      </c>
    </row>
    <row r="7" ht="22.5" customHeight="1">
      <c r="A7" s="4" t="s">
        <v>40</v>
      </c>
      <c r="B7" s="7">
        <v>180.0</v>
      </c>
      <c r="C7" s="7">
        <v>54.0</v>
      </c>
      <c r="D7" s="7">
        <v>40.0</v>
      </c>
      <c r="E7" s="7">
        <v>15.0</v>
      </c>
      <c r="F7" s="7">
        <f t="shared" si="1"/>
        <v>1.346153846</v>
      </c>
      <c r="G7" s="7">
        <f t="shared" si="2"/>
        <v>0.6742269892</v>
      </c>
      <c r="H7" s="7">
        <f t="shared" si="3"/>
        <v>2.687715275</v>
      </c>
      <c r="I7" s="10">
        <f t="shared" si="4"/>
        <v>15</v>
      </c>
      <c r="J7" s="10">
        <f t="shared" si="5"/>
        <v>40</v>
      </c>
      <c r="K7" s="10">
        <f t="shared" si="6"/>
        <v>39</v>
      </c>
      <c r="L7" s="10">
        <f t="shared" si="7"/>
        <v>140</v>
      </c>
      <c r="M7" s="10">
        <f t="shared" si="8"/>
        <v>0.3527754944</v>
      </c>
    </row>
    <row r="8" ht="21.0" customHeight="1"/>
    <row r="9">
      <c r="A9" s="4"/>
    </row>
    <row r="10">
      <c r="A10" s="4"/>
    </row>
    <row r="11">
      <c r="A11" s="4"/>
    </row>
    <row r="12">
      <c r="A12" s="1"/>
    </row>
    <row r="13">
      <c r="A13" s="4"/>
    </row>
    <row r="14">
      <c r="A14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12</v>
      </c>
      <c r="B1" s="4" t="s">
        <v>13</v>
      </c>
      <c r="C1" s="4" t="s">
        <v>14</v>
      </c>
      <c r="D1" s="4" t="s">
        <v>67</v>
      </c>
      <c r="E1" s="4" t="s">
        <v>68</v>
      </c>
      <c r="F1" s="1" t="s">
        <v>0</v>
      </c>
      <c r="G1" s="1" t="s">
        <v>3</v>
      </c>
      <c r="H1" s="1" t="s">
        <v>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9</v>
      </c>
    </row>
    <row r="2">
      <c r="A2" s="4" t="s">
        <v>36</v>
      </c>
      <c r="B2" s="7">
        <v>22332.0</v>
      </c>
      <c r="C2" s="7">
        <v>679.0</v>
      </c>
      <c r="D2" s="7">
        <v>2066.0</v>
      </c>
      <c r="E2" s="7">
        <v>68.0</v>
      </c>
      <c r="F2" s="7">
        <f t="shared" ref="F2:F3" si="1">(I2*L2)/(J2*K2)</f>
        <v>1.091705312</v>
      </c>
      <c r="G2" s="7">
        <f t="shared" ref="G2:G3" si="2">EXP(log($F2, exp(1)) - 1.96*$M2)</f>
        <v>0.8463033732</v>
      </c>
      <c r="H2" s="7">
        <f t="shared" ref="H2:H3" si="3">EXP(log($F2, exp(1)) + 1.96*$M2)</f>
        <v>1.408266263</v>
      </c>
      <c r="I2" s="10">
        <f t="shared" ref="I2:I3" si="4">E2</f>
        <v>68</v>
      </c>
      <c r="J2" s="10">
        <f t="shared" ref="J2:J3" si="5">D2</f>
        <v>2066</v>
      </c>
      <c r="K2" s="10">
        <f t="shared" ref="K2:K3" si="6">C2-E2</f>
        <v>611</v>
      </c>
      <c r="L2" s="10">
        <f t="shared" ref="L2:L3" si="7">B2-D2</f>
        <v>20266</v>
      </c>
      <c r="M2" s="10">
        <f t="shared" ref="M2:M3" si="8">sqrt((1/I2) + (1/J2) + (1/K2) + (1/L2))</f>
        <v>0.12990733</v>
      </c>
    </row>
    <row r="3">
      <c r="A3" s="4" t="s">
        <v>65</v>
      </c>
      <c r="B3" s="7">
        <v>332.0</v>
      </c>
      <c r="C3" s="7">
        <v>111.0</v>
      </c>
      <c r="D3" s="7">
        <v>78.0</v>
      </c>
      <c r="E3" s="7">
        <v>19.0</v>
      </c>
      <c r="F3" s="7">
        <f t="shared" si="1"/>
        <v>0.6725195095</v>
      </c>
      <c r="G3" s="7">
        <f t="shared" si="2"/>
        <v>0.3859716419</v>
      </c>
      <c r="H3" s="7">
        <f t="shared" si="3"/>
        <v>1.171802385</v>
      </c>
      <c r="I3" s="10">
        <f t="shared" si="4"/>
        <v>19</v>
      </c>
      <c r="J3" s="10">
        <f t="shared" si="5"/>
        <v>78</v>
      </c>
      <c r="K3" s="10">
        <f t="shared" si="6"/>
        <v>92</v>
      </c>
      <c r="L3" s="10">
        <f t="shared" si="7"/>
        <v>254</v>
      </c>
      <c r="M3" s="10">
        <f t="shared" si="8"/>
        <v>0.2832996026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12</v>
      </c>
      <c r="B1" s="4" t="s">
        <v>13</v>
      </c>
      <c r="C1" s="4" t="s">
        <v>14</v>
      </c>
      <c r="D1" s="4" t="s">
        <v>67</v>
      </c>
      <c r="E1" s="4" t="s">
        <v>68</v>
      </c>
      <c r="F1" s="1" t="s">
        <v>0</v>
      </c>
      <c r="G1" s="1" t="s">
        <v>3</v>
      </c>
      <c r="H1" s="1" t="s">
        <v>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9</v>
      </c>
    </row>
    <row r="2">
      <c r="A2" s="4" t="s">
        <v>50</v>
      </c>
      <c r="B2" s="7">
        <v>3656.0</v>
      </c>
      <c r="C2" s="7">
        <v>720.0</v>
      </c>
      <c r="D2" s="16">
        <v>1137.0</v>
      </c>
      <c r="E2" s="7">
        <v>251.0</v>
      </c>
      <c r="F2" s="7">
        <f t="shared" ref="F2:F4" si="1">(I2*L2)/(J2*K2)</f>
        <v>1.185682968</v>
      </c>
      <c r="G2" s="7">
        <f t="shared" ref="G2:G4" si="2">EXP(log($F2, exp(1)) - 1.96*$M2)</f>
        <v>1.001797602</v>
      </c>
      <c r="H2" s="7">
        <f t="shared" ref="H2:H4" si="3">EXP(log($F2, exp(1)) + 1.96*$M2)</f>
        <v>1.403321488</v>
      </c>
      <c r="I2" s="10">
        <f t="shared" ref="I2:I4" si="4">E2</f>
        <v>251</v>
      </c>
      <c r="J2" s="10">
        <f t="shared" ref="J2:J4" si="5">D2</f>
        <v>1137</v>
      </c>
      <c r="K2" s="10">
        <f t="shared" ref="K2:K4" si="6">C2-E2</f>
        <v>469</v>
      </c>
      <c r="L2" s="10">
        <f t="shared" ref="L2:L4" si="7">B2-D2</f>
        <v>2519</v>
      </c>
      <c r="M2" s="10">
        <f t="shared" ref="M2:M4" si="8">sqrt((1/I2) + (1/J2) + (1/K2) + (1/L2))</f>
        <v>0.08598110439</v>
      </c>
    </row>
    <row r="3">
      <c r="A3" s="4" t="s">
        <v>36</v>
      </c>
      <c r="B3" s="7">
        <v>22332.0</v>
      </c>
      <c r="C3" s="7">
        <v>912.0</v>
      </c>
      <c r="D3" s="7">
        <v>18098.0</v>
      </c>
      <c r="E3" s="7">
        <v>750.0</v>
      </c>
      <c r="F3" s="7">
        <f t="shared" si="1"/>
        <v>1.083094919</v>
      </c>
      <c r="G3" s="7">
        <f t="shared" si="2"/>
        <v>0.9109626413</v>
      </c>
      <c r="H3" s="7">
        <f t="shared" si="3"/>
        <v>1.287752704</v>
      </c>
      <c r="I3" s="10">
        <f t="shared" si="4"/>
        <v>750</v>
      </c>
      <c r="J3" s="10">
        <f t="shared" si="5"/>
        <v>18098</v>
      </c>
      <c r="K3" s="10">
        <f t="shared" si="6"/>
        <v>162</v>
      </c>
      <c r="L3" s="10">
        <f t="shared" si="7"/>
        <v>4234</v>
      </c>
      <c r="M3" s="10">
        <f t="shared" si="8"/>
        <v>0.08830408168</v>
      </c>
    </row>
    <row r="4">
      <c r="A4" s="4" t="s">
        <v>65</v>
      </c>
      <c r="B4" s="7">
        <v>332.0</v>
      </c>
      <c r="C4" s="7">
        <v>111.0</v>
      </c>
      <c r="D4" s="7">
        <v>10.0</v>
      </c>
      <c r="E4" s="7">
        <v>10.0</v>
      </c>
      <c r="F4" s="7">
        <f t="shared" si="1"/>
        <v>3.188118812</v>
      </c>
      <c r="G4" s="7">
        <f t="shared" si="2"/>
        <v>1.290254344</v>
      </c>
      <c r="H4" s="7">
        <f t="shared" si="3"/>
        <v>7.877595302</v>
      </c>
      <c r="I4" s="10">
        <f t="shared" si="4"/>
        <v>10</v>
      </c>
      <c r="J4" s="10">
        <f t="shared" si="5"/>
        <v>10</v>
      </c>
      <c r="K4" s="10">
        <f t="shared" si="6"/>
        <v>101</v>
      </c>
      <c r="L4" s="10">
        <f t="shared" si="7"/>
        <v>322</v>
      </c>
      <c r="M4" s="10">
        <f t="shared" si="8"/>
        <v>0.4615263591</v>
      </c>
    </row>
  </sheetData>
  <drawing r:id="rId1"/>
</worksheet>
</file>